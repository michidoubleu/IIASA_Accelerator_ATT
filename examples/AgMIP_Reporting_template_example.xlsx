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woeg\Documents\Githubs\IIASA\LAMA_BS_Baseline\template_translator\examples\"/>
    </mc:Choice>
  </mc:AlternateContent>
  <xr:revisionPtr revIDLastSave="0" documentId="8_{4F4DE6C0-CDC0-4725-9E57-21B863179E9B}" xr6:coauthVersionLast="47" xr6:coauthVersionMax="47" xr10:uidLastSave="{00000000-0000-0000-0000-000000000000}"/>
  <bookViews>
    <workbookView xWindow="-120" yWindow="-120" windowWidth="29040" windowHeight="15720" tabRatio="754" activeTab="1" xr2:uid="{00000000-000D-0000-FFFF-FFFF00000000}"/>
  </bookViews>
  <sheets>
    <sheet name="Listing_template" sheetId="8" r:id="rId1"/>
    <sheet name="Variables" sheetId="16" r:id="rId2"/>
    <sheet name="Regions" sheetId="17" r:id="rId3"/>
    <sheet name="Units" sheetId="23" r:id="rId4"/>
    <sheet name="Items" sheetId="10" r:id="rId5"/>
    <sheet name="Overview crop definitions" sheetId="20" r:id="rId6"/>
    <sheet name="Overview regional mapping" sheetId="21" r:id="rId7"/>
    <sheet name="DM_Conversion_rates" sheetId="27" r:id="rId8"/>
  </sheets>
  <definedNames>
    <definedName name="_xlnm._FilterDatabase" localSheetId="5" hidden="1">'Overview crop definitions'!$B$5:$D$163</definedName>
    <definedName name="_xlnm._FilterDatabase" localSheetId="6" hidden="1">'Overview regional mapping'!$S$1:$S$273</definedName>
    <definedName name="_xlnm._FilterDatabase" localSheetId="2" hidden="1">Regions!$G$3:$Q$227</definedName>
    <definedName name="_xlnm._FilterDatabase" localSheetId="1" hidden="1">Variables!$B$6:$CL$127</definedName>
    <definedName name="AreaUnderMACYN">#REF!</definedName>
    <definedName name="BioenergyCropsYN">#REF!</definedName>
    <definedName name="BurdenSharing">#REF!</definedName>
    <definedName name="CapitalYN">#REF!</definedName>
    <definedName name="ClimateChange">#REF!</definedName>
    <definedName name="CoalYN">#REF!</definedName>
    <definedName name="ConsumptionLossYN">#REF!</definedName>
    <definedName name="ElectricityYN">#REF!</definedName>
    <definedName name="EmissionsPermitsYN">#REF!</definedName>
    <definedName name="EnergySystemCostMarkUpYN">#REF!</definedName>
    <definedName name="EquivalentVariationYN">#REF!</definedName>
    <definedName name="FoodCropsYN">#REF!</definedName>
    <definedName name="GasYN">#REF!</definedName>
    <definedName name="GDPLossYN">#REF!</definedName>
    <definedName name="ModelTypeSolutionConcept">#REF!</definedName>
    <definedName name="ModelTypeSolutionHorizon">#REF!</definedName>
    <definedName name="ModelTypeSolutionMethod">#REF!</definedName>
    <definedName name="ModelVersionStatus">#REF!</definedName>
    <definedName name="OilYN">#REF!</definedName>
    <definedName name="Overshoot">#REF!</definedName>
    <definedName name="ProcessedGoodsYN">#REF!</definedName>
    <definedName name="RegionalCoverage">#REF!</definedName>
    <definedName name="ScenarioType">#REF!</definedName>
    <definedName name="TechFlex">#REF!</definedName>
    <definedName name="UraniumYN">#REF!</definedName>
    <definedName name="WelfareLossYN">#REF!</definedName>
    <definedName name="WhatFlex">#REF!</definedName>
    <definedName name="WhenFlex">#REF!</definedName>
    <definedName name="WhenFlex2">#REF!</definedName>
    <definedName name="Y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1" l="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3" i="21"/>
  <c r="J4" i="21"/>
  <c r="J5" i="21"/>
  <c r="J6" i="21"/>
  <c r="J7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3" i="21"/>
  <c r="B226" i="21" l="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tc={5DEDB6A9-A719-451A-81B1-CCE26DB28DCA}</author>
    <author>tc={80AB0733-2CC6-49DC-9B62-EA4865763656}</author>
  </authors>
  <commentList>
    <comment ref="B34" authorId="0" shapeId="0" xr:uid="{5DEDB6A9-A719-451A-81B1-CCE26DB28DCA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not "PROD_,,m3" etc to be consistent with the other setup?</t>
      </text>
    </comment>
    <comment ref="C35" authorId="1" shapeId="0" xr:uid="{80AB0733-2CC6-49DC-9B62-EA486576365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'domestic use' as in the regular CONS variable I think.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tc={121247CD-824E-4945-BC72-8E59F2CA5143}</author>
    <author>tc={9BE94D5E-415F-400B-B81D-8B5B9D311C6A}</author>
  </authors>
  <commentList>
    <comment ref="A3" authorId="0" shapeId="0" xr:uid="{121247CD-824E-4945-BC72-8E59F2CA514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recent unit? 
Reply:
    Agmemod is in 2010</t>
      </text>
    </comment>
    <comment ref="A13" authorId="1" shapeId="0" xr:uid="{9BE94D5E-415F-400B-B81D-8B5B9D311C6A}">
      <text>
        <t>[Threaded comment]
Your version of Excel allows you to read this threaded comment; however, any edits to it will get removed if the file is opened in a newer version of Excel. Learn more: https://go.microsoft.com/fwlink/?linkid=870924
Comment:
    tbd: just animal nrs or lstu, compare FAO and EUROSTAT approach
Reply:
    Agmemod in 1000head (cf eurostat)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tc={07AA0511-E51C-4165-87A4-F9E94264AB77}</author>
    <author>tc={12599AE6-A8DD-4FA2-8624-61D84FAC7410}</author>
    <author>tc={E1E17F35-D73A-4E89-8FC0-5CDDD18E82D1}</author>
  </authors>
  <commentList>
    <comment ref="C67" authorId="0" shapeId="0" xr:uid="{07AA0511-E51C-4165-87A4-F9E94264AB77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@willem-jan, I would say this is the same as the AGR item, or do you see that differently?
Reply:
    It's slighly different as it includes fish and aquaculture for MAGNET. This is just a MAGNET convention name for all primary food sectors, we can give it a different name if it's helpful.</t>
      </text>
    </comment>
    <comment ref="A72" authorId="1" shapeId="0" xr:uid="{12599AE6-A8DD-4FA2-8624-61D84FAC741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by Myrna for Agmemod</t>
      </text>
    </comment>
    <comment ref="A73" authorId="2" shapeId="0" xr:uid="{E1E17F35-D73A-4E89-8FC0-5CDDD18E8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Myrna asks -- Is this enough"? They have more detail but is it required?
</t>
      </text>
    </comment>
  </commentList>
</comments>
</file>

<file path=xl/sharedStrings.xml><?xml version="1.0" encoding="utf-8"?>
<sst xmlns="http://schemas.openxmlformats.org/spreadsheetml/2006/main" count="12723" uniqueCount="2700">
  <si>
    <t>Model</t>
  </si>
  <si>
    <t>Scenario</t>
  </si>
  <si>
    <t>Region</t>
  </si>
  <si>
    <t>Item</t>
  </si>
  <si>
    <t>Variable</t>
  </si>
  <si>
    <t>Year</t>
  </si>
  <si>
    <t>Unit</t>
  </si>
  <si>
    <t>Value</t>
  </si>
  <si>
    <t>…</t>
  </si>
  <si>
    <t>WLD</t>
  </si>
  <si>
    <t>TOT</t>
  </si>
  <si>
    <t>POPT</t>
  </si>
  <si>
    <t>million</t>
  </si>
  <si>
    <t>NEW LAMASUS SUGGESTIONS</t>
  </si>
  <si>
    <t>Description</t>
  </si>
  <si>
    <t>Total</t>
  </si>
  <si>
    <t>Rice</t>
  </si>
  <si>
    <t>Wheat</t>
  </si>
  <si>
    <t>Coarse grains</t>
  </si>
  <si>
    <t>Maize</t>
  </si>
  <si>
    <t>other coarse grains</t>
  </si>
  <si>
    <t>Oilseeds</t>
  </si>
  <si>
    <t>soya, rapeseed, sunflower</t>
  </si>
  <si>
    <t>other oilseeds and oil crops</t>
  </si>
  <si>
    <t>Sugar crops</t>
  </si>
  <si>
    <t>Vegetables, fruits &amp; nuts</t>
  </si>
  <si>
    <t>Vegetables</t>
  </si>
  <si>
    <t>Fruits</t>
  </si>
  <si>
    <t>Nuts</t>
  </si>
  <si>
    <t>Roots &amp; tubers</t>
  </si>
  <si>
    <t>Pulses</t>
  </si>
  <si>
    <t>Plant based fibres</t>
  </si>
  <si>
    <t>Cotton</t>
  </si>
  <si>
    <t>other plant based fibres</t>
  </si>
  <si>
    <t>Energy crops</t>
  </si>
  <si>
    <t>Other crops</t>
  </si>
  <si>
    <t>All crops</t>
  </si>
  <si>
    <t>Arable crops</t>
  </si>
  <si>
    <t>Permanent crops</t>
  </si>
  <si>
    <t>Ruminant meat</t>
  </si>
  <si>
    <t>beef</t>
  </si>
  <si>
    <t>Other ruminant</t>
  </si>
  <si>
    <t>Non-ruminant meat</t>
  </si>
  <si>
    <t>Pork meat</t>
  </si>
  <si>
    <t>Poultry meat</t>
  </si>
  <si>
    <t>Poultry eggs</t>
  </si>
  <si>
    <t>Other non-ruminant</t>
  </si>
  <si>
    <t>Dairy</t>
  </si>
  <si>
    <t>Other animal products</t>
  </si>
  <si>
    <t>Livestock</t>
  </si>
  <si>
    <t>Fish</t>
  </si>
  <si>
    <t>Agriculture</t>
  </si>
  <si>
    <t>Grass</t>
  </si>
  <si>
    <t>Other feed</t>
  </si>
  <si>
    <t>Forest</t>
  </si>
  <si>
    <t>Strict protection</t>
  </si>
  <si>
    <t>Protected coniferous</t>
  </si>
  <si>
    <t>Protected non-coniferous</t>
  </si>
  <si>
    <t>Low intensity coniferous</t>
  </si>
  <si>
    <t>Low intensity non-coniferous</t>
  </si>
  <si>
    <t>High intensity coniferous</t>
  </si>
  <si>
    <t>High intensity non-coniferous</t>
  </si>
  <si>
    <t>Restored protected coniferous</t>
  </si>
  <si>
    <t>Restored protected non-coniferous</t>
  </si>
  <si>
    <t>Restored unprotected coniferous</t>
  </si>
  <si>
    <t>Restored unprotected non-coniferous</t>
  </si>
  <si>
    <t>Managed Forest</t>
  </si>
  <si>
    <t>Primary Forest</t>
  </si>
  <si>
    <t>Woodchips Conifereous</t>
  </si>
  <si>
    <t>Woodchips Non-conifereous</t>
  </si>
  <si>
    <t>Sawdust Conifereous</t>
  </si>
  <si>
    <t>Sawdust Non-conifereous</t>
  </si>
  <si>
    <t>Pulplogs Conifereous</t>
  </si>
  <si>
    <t>Pulplogs Non-conifereous</t>
  </si>
  <si>
    <t>Sawlogs Conifereous</t>
  </si>
  <si>
    <t>Sawlogs Non-conifereous</t>
  </si>
  <si>
    <t>Bark</t>
  </si>
  <si>
    <t>Black Liquor</t>
  </si>
  <si>
    <t>Agriculture and Forestry</t>
  </si>
  <si>
    <t>Other natural vegetation</t>
  </si>
  <si>
    <t>Non arable land</t>
  </si>
  <si>
    <t>Built-up area</t>
  </si>
  <si>
    <t>Land-use change</t>
  </si>
  <si>
    <t>Agriculture, Forestry, Land use-change</t>
  </si>
  <si>
    <t>Wetland emissions</t>
  </si>
  <si>
    <t>Enteric Fermentation</t>
  </si>
  <si>
    <t>Manure applied to soils</t>
  </si>
  <si>
    <t>Manure dropped on pasture</t>
  </si>
  <si>
    <t>Manure mangement</t>
  </si>
  <si>
    <t>Rice cultivation</t>
  </si>
  <si>
    <t>Synthetic fertilizer application</t>
  </si>
  <si>
    <t>Labor</t>
  </si>
  <si>
    <t>Capital</t>
  </si>
  <si>
    <t>Fertiliser</t>
  </si>
  <si>
    <t>Fossil fuel</t>
  </si>
  <si>
    <t>Electricity</t>
  </si>
  <si>
    <t>Primary agriculture &amp; fish</t>
  </si>
  <si>
    <t>Processed food sectors</t>
  </si>
  <si>
    <t>Food services</t>
  </si>
  <si>
    <t>Non food sectors</t>
  </si>
  <si>
    <t>CAPRI</t>
  </si>
  <si>
    <t>GLOBIOM</t>
  </si>
  <si>
    <t>IMAGE</t>
  </si>
  <si>
    <t>MAGNET</t>
  </si>
  <si>
    <t>AGMEMOD</t>
  </si>
  <si>
    <t>RIC</t>
  </si>
  <si>
    <t>WHT</t>
  </si>
  <si>
    <t>CGR</t>
  </si>
  <si>
    <t>CGR|MAI</t>
  </si>
  <si>
    <t>CGR|OCG</t>
  </si>
  <si>
    <t>OSD</t>
  </si>
  <si>
    <t>OSD|SRS</t>
  </si>
  <si>
    <t>OSD|OOC</t>
  </si>
  <si>
    <t>SGC</t>
  </si>
  <si>
    <t>VFN</t>
  </si>
  <si>
    <t>VFN|VEG</t>
  </si>
  <si>
    <t>VFN|FRU</t>
  </si>
  <si>
    <t>VFN|NUT</t>
  </si>
  <si>
    <t>VFN|ROOT</t>
  </si>
  <si>
    <t>VFN|PULS</t>
  </si>
  <si>
    <t>PFB</t>
  </si>
  <si>
    <t>PFB|COT</t>
  </si>
  <si>
    <t>PFB|OPF</t>
  </si>
  <si>
    <t>ECP</t>
  </si>
  <si>
    <t>OCR</t>
  </si>
  <si>
    <t>CRP</t>
  </si>
  <si>
    <t>CRP|ARA</t>
  </si>
  <si>
    <t>CRP|PRM</t>
  </si>
  <si>
    <t>RUM</t>
  </si>
  <si>
    <t>RUM|BEF</t>
  </si>
  <si>
    <t>RUM|ORU</t>
  </si>
  <si>
    <t>NRM</t>
  </si>
  <si>
    <t>NRM|PRK</t>
  </si>
  <si>
    <t>NRM|PTM</t>
  </si>
  <si>
    <t>NRM|EGG</t>
  </si>
  <si>
    <t>NRM|ONR</t>
  </si>
  <si>
    <t>DRY</t>
  </si>
  <si>
    <t>OAP</t>
  </si>
  <si>
    <t>LSP</t>
  </si>
  <si>
    <t>FSH</t>
  </si>
  <si>
    <t>AGR</t>
  </si>
  <si>
    <t>GRS</t>
  </si>
  <si>
    <t>OFD</t>
  </si>
  <si>
    <t>FOR</t>
  </si>
  <si>
    <t>FOR|PRO</t>
  </si>
  <si>
    <t>FOR|LOC</t>
  </si>
  <si>
    <t>FOR|LON</t>
  </si>
  <si>
    <t>FOR|MIC</t>
  </si>
  <si>
    <t>FOR|MIN</t>
  </si>
  <si>
    <t>FOR|HIC</t>
  </si>
  <si>
    <t>FOR|HIN</t>
  </si>
  <si>
    <t>FOR|LRC</t>
  </si>
  <si>
    <t>FOR|LRN</t>
  </si>
  <si>
    <t>FOR|RUC</t>
  </si>
  <si>
    <t>FOR|RUN</t>
  </si>
  <si>
    <t>FOR|MAN</t>
  </si>
  <si>
    <t>FOR|PRIM</t>
  </si>
  <si>
    <t>FOR|WCC</t>
  </si>
  <si>
    <t>FOR|WCN</t>
  </si>
  <si>
    <t>FOR|SDC</t>
  </si>
  <si>
    <t>FOR|SDN</t>
  </si>
  <si>
    <t>FOR|PLC</t>
  </si>
  <si>
    <t>FOR|PLN</t>
  </si>
  <si>
    <t>FOR|SLC</t>
  </si>
  <si>
    <t>FOR|SLN</t>
  </si>
  <si>
    <t>FOR|BRK</t>
  </si>
  <si>
    <t>FOR|BLI</t>
  </si>
  <si>
    <t>AFO</t>
  </si>
  <si>
    <t>ONV</t>
  </si>
  <si>
    <t>NLD</t>
  </si>
  <si>
    <t>BUA</t>
  </si>
  <si>
    <t>LUC</t>
  </si>
  <si>
    <t>AFOLU</t>
  </si>
  <si>
    <t>WEM</t>
  </si>
  <si>
    <t>ENT</t>
  </si>
  <si>
    <t>MAS</t>
  </si>
  <si>
    <t>MGR</t>
  </si>
  <si>
    <t>MMG</t>
  </si>
  <si>
    <t>RCC</t>
  </si>
  <si>
    <t>SFR</t>
  </si>
  <si>
    <t>LAB</t>
  </si>
  <si>
    <t>CAP</t>
  </si>
  <si>
    <t>FRT</t>
  </si>
  <si>
    <t>FF</t>
  </si>
  <si>
    <t>ELEC</t>
  </si>
  <si>
    <t>PRAG</t>
  </si>
  <si>
    <t>PRFD</t>
  </si>
  <si>
    <t>PDSV</t>
  </si>
  <si>
    <t>NONF</t>
  </si>
  <si>
    <t>BC20</t>
  </si>
  <si>
    <t>POPT   </t>
  </si>
  <si>
    <t xml:space="preserve">Total population </t>
  </si>
  <si>
    <t>X</t>
  </si>
  <si>
    <t>GDPT   </t>
  </si>
  <si>
    <t>Total GDP (MER)</t>
  </si>
  <si>
    <t>bn USD 2005 MER</t>
  </si>
  <si>
    <t>XPRP</t>
  </si>
  <si>
    <t>Real producer price/input price</t>
  </si>
  <si>
    <t>USD/t</t>
  </si>
  <si>
    <t>XPRP_dm</t>
  </si>
  <si>
    <t>Real producer price/input price per unit dry matter content</t>
  </si>
  <si>
    <t>XPRX</t>
  </si>
  <si>
    <t xml:space="preserve">Real export price </t>
  </si>
  <si>
    <t>XPRX_dm</t>
  </si>
  <si>
    <t>Real export price per unit dry matter</t>
  </si>
  <si>
    <t>AREA</t>
  </si>
  <si>
    <t xml:space="preserve">Area harvested </t>
  </si>
  <si>
    <t>1000 ha</t>
  </si>
  <si>
    <t>ARRF</t>
  </si>
  <si>
    <t>Area harvested - rainfed</t>
  </si>
  <si>
    <t>ARIR</t>
  </si>
  <si>
    <t>Area harvested - irrigated</t>
  </si>
  <si>
    <t>LAND</t>
  </si>
  <si>
    <t xml:space="preserve">Land cover </t>
  </si>
  <si>
    <t>YILD</t>
  </si>
  <si>
    <t xml:space="preserve">Crop yield </t>
  </si>
  <si>
    <t>t/ha</t>
  </si>
  <si>
    <t>YILD_dm</t>
  </si>
  <si>
    <t>Crop yield in dry matter content</t>
  </si>
  <si>
    <t>YIRF</t>
  </si>
  <si>
    <t>Crop yield - rainfed</t>
  </si>
  <si>
    <t>YIRF_dm</t>
  </si>
  <si>
    <t>Crop yield in dry matter content - rainfed</t>
  </si>
  <si>
    <t>YIIR</t>
  </si>
  <si>
    <t>Crop yield - irrigated</t>
  </si>
  <si>
    <t>YIIR_dm</t>
  </si>
  <si>
    <t>Crop yield in dry matter content - irrigated</t>
  </si>
  <si>
    <t>YEXO   </t>
  </si>
  <si>
    <t>Exogenous crop yield (including climate shifter)</t>
  </si>
  <si>
    <t>YEXO_dm</t>
  </si>
  <si>
    <t>Exogenous crop yield in dry matter content (including climate shifter)</t>
  </si>
  <si>
    <t>YEXO_I</t>
  </si>
  <si>
    <t>Exogenous crop yield - Irrigated</t>
  </si>
  <si>
    <t>YEXO_I_dm</t>
  </si>
  <si>
    <t>Exogenous crop yield in dry matter content - Irrigated</t>
  </si>
  <si>
    <t>YEXO_R</t>
  </si>
  <si>
    <t>Exogenous crop yield - Rainfed</t>
  </si>
  <si>
    <t>YEXO_R_dm</t>
  </si>
  <si>
    <t>Exogenous crop yield in dry matter content - Rainfed</t>
  </si>
  <si>
    <t>YECC</t>
  </si>
  <si>
    <t>Climate change shifter on crop yield</t>
  </si>
  <si>
    <t>multiplier (unitless)</t>
  </si>
  <si>
    <t>YECC_I</t>
  </si>
  <si>
    <t>Climate change shifter on crop yield_Irrigated</t>
  </si>
  <si>
    <t>YECC_R</t>
  </si>
  <si>
    <t>Climate change shifter on crop yield_Rainfed</t>
  </si>
  <si>
    <t>LYLD </t>
  </si>
  <si>
    <t xml:space="preserve">Livestock yield (endogenous) </t>
  </si>
  <si>
    <t>kg prt/ha</t>
  </si>
  <si>
    <t>LYXO   </t>
  </si>
  <si>
    <t xml:space="preserve">Exogenous livestock yield trend </t>
  </si>
  <si>
    <t>FPROD</t>
  </si>
  <si>
    <t>Forestry production</t>
  </si>
  <si>
    <t>m3/yr</t>
  </si>
  <si>
    <t>FCONS</t>
  </si>
  <si>
    <t>Forestry consumption</t>
  </si>
  <si>
    <t>FNETT</t>
  </si>
  <si>
    <t>Forest products net trade</t>
  </si>
  <si>
    <t>FYLD</t>
  </si>
  <si>
    <t>Forestry yields</t>
  </si>
  <si>
    <t>m3/ha</t>
  </si>
  <si>
    <t>FXPRP</t>
  </si>
  <si>
    <t>USD/m3</t>
  </si>
  <si>
    <t>x</t>
  </si>
  <si>
    <t>FEEF</t>
  </si>
  <si>
    <t xml:space="preserve">Feed conversion efficiency (endogenous) </t>
  </si>
  <si>
    <t>kg prt/kg prt</t>
  </si>
  <si>
    <t>FOOD</t>
  </si>
  <si>
    <t xml:space="preserve">Food use </t>
  </si>
  <si>
    <t>1000 t</t>
  </si>
  <si>
    <t>FOOD_dm</t>
  </si>
  <si>
    <t>Food use in dry matter content</t>
  </si>
  <si>
    <t>FEED</t>
  </si>
  <si>
    <t xml:space="preserve">Feed use </t>
  </si>
  <si>
    <t>FEED_dm</t>
  </si>
  <si>
    <t>Feed use in dry matter content</t>
  </si>
  <si>
    <t>OTHU</t>
  </si>
  <si>
    <t xml:space="preserve">Other use </t>
  </si>
  <si>
    <t>OTHU_dm</t>
  </si>
  <si>
    <t>Other use in dry matter content</t>
  </si>
  <si>
    <t>IMPO</t>
  </si>
  <si>
    <t xml:space="preserve">Imports </t>
  </si>
  <si>
    <t>IMPO_dm</t>
  </si>
  <si>
    <t>Imports in dry matter content</t>
  </si>
  <si>
    <t>EXPO</t>
  </si>
  <si>
    <t xml:space="preserve">Exports </t>
  </si>
  <si>
    <t>EXPO_dm</t>
  </si>
  <si>
    <t>Exports in dry matter content</t>
  </si>
  <si>
    <t>WATR</t>
  </si>
  <si>
    <t>Water for irrigation (consumption)</t>
  </si>
  <si>
    <t>km3</t>
  </si>
  <si>
    <t>WATW  </t>
  </si>
  <si>
    <t>Water for irrigation (withdrawal)</t>
  </si>
  <si>
    <t>CALO</t>
  </si>
  <si>
    <t xml:space="preserve">p.c. calory availability </t>
  </si>
  <si>
    <t>kcal/cap/d</t>
  </si>
  <si>
    <t>CALI</t>
  </si>
  <si>
    <t>p.c. calory intake</t>
  </si>
  <si>
    <t>PROD</t>
  </si>
  <si>
    <t xml:space="preserve">Production </t>
  </si>
  <si>
    <t>PROD_dm</t>
  </si>
  <si>
    <t>Production in dry matter content</t>
  </si>
  <si>
    <t>CONS</t>
  </si>
  <si>
    <t xml:space="preserve">Domestic use </t>
  </si>
  <si>
    <t>CONS_dm</t>
  </si>
  <si>
    <t>Domestic use in dry matter content</t>
  </si>
  <si>
    <t>NETT</t>
  </si>
  <si>
    <t xml:space="preserve">Net trade </t>
  </si>
  <si>
    <t>FEXO</t>
  </si>
  <si>
    <t xml:space="preserve">Feed conversion efficiency  trend </t>
  </si>
  <si>
    <t>NETT_dm</t>
  </si>
  <si>
    <t>Net trade in dry matter content</t>
  </si>
  <si>
    <t>ANNR</t>
  </si>
  <si>
    <t>Livestock animal numbers</t>
  </si>
  <si>
    <t>1000 LSU</t>
  </si>
  <si>
    <t>FRUM</t>
  </si>
  <si>
    <t xml:space="preserve">Feed use ruminant meat </t>
  </si>
  <si>
    <t>FRUM_dm</t>
  </si>
  <si>
    <t>Feed use ruminant meat in dry matter content</t>
  </si>
  <si>
    <t>FRUM_prt</t>
  </si>
  <si>
    <t>Feed use ruminant meat in protein content</t>
  </si>
  <si>
    <t>FNRM</t>
  </si>
  <si>
    <t xml:space="preserve">Feed use non-ruminant </t>
  </si>
  <si>
    <t>FNRM_dm</t>
  </si>
  <si>
    <t>Feed use non-ruminant in dry matter content</t>
  </si>
  <si>
    <t>FNRM_prt</t>
  </si>
  <si>
    <t>Feed use non-ruminant in protein content</t>
  </si>
  <si>
    <t>FDRY</t>
  </si>
  <si>
    <t xml:space="preserve">Feed use dairy </t>
  </si>
  <si>
    <t>FDRY_dm</t>
  </si>
  <si>
    <t>Feed use dairy in dry matter content</t>
  </si>
  <si>
    <t>FDRY_prt</t>
  </si>
  <si>
    <t>Feed use dairy in protein content</t>
  </si>
  <si>
    <t>FFSH</t>
  </si>
  <si>
    <t>Feed fish sector</t>
  </si>
  <si>
    <t>FFSH_dm</t>
  </si>
  <si>
    <t>Feed fish sector in dry matter content</t>
  </si>
  <si>
    <t>FFSH_prt</t>
  </si>
  <si>
    <t>Feed fish sector in protein content</t>
  </si>
  <si>
    <t>EMIS</t>
  </si>
  <si>
    <t>Total GHG emissions</t>
  </si>
  <si>
    <t>MtCO2e</t>
  </si>
  <si>
    <t>ECO2</t>
  </si>
  <si>
    <t>Total CO2 emissions</t>
  </si>
  <si>
    <t>ECH4_eq</t>
  </si>
  <si>
    <t>Total CH4 emissions</t>
  </si>
  <si>
    <t>EN2O_eq</t>
  </si>
  <si>
    <t>Total N2O emissions</t>
  </si>
  <si>
    <t>ECH4</t>
  </si>
  <si>
    <t>KtCH4</t>
  </si>
  <si>
    <t>EN2O</t>
  </si>
  <si>
    <t>KtN2O</t>
  </si>
  <si>
    <t>CTAX</t>
  </si>
  <si>
    <t>Carbon tax level</t>
  </si>
  <si>
    <t>USD/tCO2e</t>
  </si>
  <si>
    <t>TGHG</t>
  </si>
  <si>
    <t>Emission reduction from mitigation technologies</t>
  </si>
  <si>
    <t>VEGC</t>
  </si>
  <si>
    <t>Aboveground carbon stocks in vegetation</t>
  </si>
  <si>
    <t>tC/ha</t>
  </si>
  <si>
    <t>SOC</t>
  </si>
  <si>
    <t>Soil organic carbon stocks</t>
  </si>
  <si>
    <t>BII</t>
  </si>
  <si>
    <t>Biodiversity Intactness Index (BII)</t>
  </si>
  <si>
    <t>index</t>
  </si>
  <si>
    <t>MSA_plants</t>
  </si>
  <si>
    <t>Terrestrial Mean Species Abundance (MSA) - Plants</t>
  </si>
  <si>
    <t>MSA_vert</t>
  </si>
  <si>
    <t>Terrestrial Mean Species Abundance (MSA) - Vertebrates</t>
  </si>
  <si>
    <t>FBI</t>
  </si>
  <si>
    <t>Farmland Birds Index (FBI)</t>
  </si>
  <si>
    <t>index (2000=1)</t>
  </si>
  <si>
    <t>FRRS</t>
  </si>
  <si>
    <t>Fraction of remaining species (cSAR)</t>
  </si>
  <si>
    <t>share</t>
  </si>
  <si>
    <t>BFP</t>
  </si>
  <si>
    <t>Biodiversity friendly practices Indicator (BFP) / Paracchini-Britz index</t>
  </si>
  <si>
    <t>AREA_org</t>
  </si>
  <si>
    <t>Agricultural area under organic farming</t>
  </si>
  <si>
    <t>CDI</t>
  </si>
  <si>
    <t>Crop diversity index</t>
  </si>
  <si>
    <t>AREA_aem</t>
  </si>
  <si>
    <t>Area in Agri-Environmental Measures (excl. organic farming)</t>
  </si>
  <si>
    <t>AREA_lft</t>
  </si>
  <si>
    <t>Agricultural land covered with landscape features</t>
  </si>
  <si>
    <t>AREA_til</t>
  </si>
  <si>
    <t>Agricultural land with reduced tillage practices</t>
  </si>
  <si>
    <t>AREA_wetland</t>
  </si>
  <si>
    <t>Agricultural land on wetland soils</t>
  </si>
  <si>
    <t>AREA_biochar</t>
  </si>
  <si>
    <t>Agricultural land with biochar measures</t>
  </si>
  <si>
    <t>AREA_agrofor</t>
  </si>
  <si>
    <t>Agricultural land with agroforestry or silvopastures</t>
  </si>
  <si>
    <t>FRTN</t>
  </si>
  <si>
    <t>Fertilizer use nitrogen</t>
  </si>
  <si>
    <t>FRTIN</t>
  </si>
  <si>
    <t>Inorganic fertilizer use nitrogen</t>
  </si>
  <si>
    <t>FRTON</t>
  </si>
  <si>
    <t>Organic fertilizer use nitrogen</t>
  </si>
  <si>
    <t>NBAL</t>
  </si>
  <si>
    <t>Gross nitrogen balance</t>
  </si>
  <si>
    <t>FRTP</t>
  </si>
  <si>
    <t>Fertilizer use phosphorus</t>
  </si>
  <si>
    <t>FRTIP</t>
  </si>
  <si>
    <t>Inorganic fertilizer use phosphorus</t>
  </si>
  <si>
    <t>FRTOP</t>
  </si>
  <si>
    <t>Organic fertilizer use phosphorus</t>
  </si>
  <si>
    <t>PBAL</t>
  </si>
  <si>
    <t>Gross phosphorus balance</t>
  </si>
  <si>
    <t>PEST</t>
  </si>
  <si>
    <t xml:space="preserve">Use of chemical pesticides </t>
  </si>
  <si>
    <t>t</t>
  </si>
  <si>
    <t>PESTH</t>
  </si>
  <si>
    <t>Use of more hazardous pesticides </t>
  </si>
  <si>
    <t>AMCB</t>
  </si>
  <si>
    <t>Use of antimicrobials in food producing animal</t>
  </si>
  <si>
    <t>ENH3</t>
  </si>
  <si>
    <t>Ammonia emissions</t>
  </si>
  <si>
    <t>ktNH3</t>
  </si>
  <si>
    <t>PHDT</t>
  </si>
  <si>
    <t>Percent of the population that cannot afford a healthy diet</t>
  </si>
  <si>
    <t>%</t>
  </si>
  <si>
    <t>XPRC</t>
  </si>
  <si>
    <t>Real consumer prices</t>
  </si>
  <si>
    <t>XPRC_dm</t>
  </si>
  <si>
    <t>Real consumer prices in dry matter content</t>
  </si>
  <si>
    <t>FWST_prod</t>
  </si>
  <si>
    <t>Food waste during production stage</t>
  </si>
  <si>
    <t>FWST_proc</t>
  </si>
  <si>
    <t>Food waste during processing and transport</t>
  </si>
  <si>
    <t>FWST_hh</t>
  </si>
  <si>
    <t>Food waste at household level</t>
  </si>
  <si>
    <t>PROTO</t>
  </si>
  <si>
    <t>Per capita protein availability per day</t>
  </si>
  <si>
    <t>gprt/cap/day</t>
  </si>
  <si>
    <t>PROTI</t>
  </si>
  <si>
    <t>per capita protein intake per day</t>
  </si>
  <si>
    <t>ANWF</t>
  </si>
  <si>
    <t>Animal welfare</t>
  </si>
  <si>
    <r>
      <t>EMP</t>
    </r>
    <r>
      <rPr>
        <sz val="11"/>
        <color theme="1"/>
        <rFont val="Calibri"/>
        <family val="2"/>
        <scheme val="minor"/>
      </rPr>
      <t>L_abs</t>
    </r>
  </si>
  <si>
    <t>Number of workers</t>
  </si>
  <si>
    <t>VAAD</t>
  </si>
  <si>
    <t>Value added</t>
  </si>
  <si>
    <t>TFPS</t>
  </si>
  <si>
    <t>Total factor productivity</t>
  </si>
  <si>
    <t>index (2017=1)</t>
  </si>
  <si>
    <t>WAGT</t>
  </si>
  <si>
    <t>Factor prices labour in real terms</t>
  </si>
  <si>
    <t>USD/worker</t>
  </si>
  <si>
    <t>XPRP_idx</t>
  </si>
  <si>
    <t>Producer price index</t>
  </si>
  <si>
    <t>GINI</t>
  </si>
  <si>
    <t>Gini index</t>
  </si>
  <si>
    <t>Palma ratio</t>
  </si>
  <si>
    <t>BUDG</t>
  </si>
  <si>
    <t>Common Agricultural Policy payments</t>
  </si>
  <si>
    <t>BUDG_1stP</t>
  </si>
  <si>
    <t>Common Agricultural Policy payments 1st pillar</t>
  </si>
  <si>
    <t>BUDG_2ndP</t>
  </si>
  <si>
    <t>Common Agricultural Policy payments 2nd pillar</t>
  </si>
  <si>
    <t>REGIONS TO BE REPORTED AND VALIDATED IN ACCELERATOR</t>
  </si>
  <si>
    <t>Regions</t>
  </si>
  <si>
    <t>MAPPING</t>
  </si>
  <si>
    <t>AgMIP</t>
  </si>
  <si>
    <t>country-NUTS1-NUTS2 mapping</t>
  </si>
  <si>
    <t>Code</t>
  </si>
  <si>
    <t>Details</t>
  </si>
  <si>
    <t>Comment</t>
  </si>
  <si>
    <t>Country</t>
  </si>
  <si>
    <t>ISO2</t>
  </si>
  <si>
    <t>ISO3</t>
  </si>
  <si>
    <t>ISO#</t>
  </si>
  <si>
    <t>AggCode</t>
  </si>
  <si>
    <t>Code 2021</t>
  </si>
  <si>
    <t>NUTS level 1</t>
  </si>
  <si>
    <t>NUTS level 2</t>
  </si>
  <si>
    <t>CAN</t>
  </si>
  <si>
    <t>Canada</t>
  </si>
  <si>
    <t>Afghanistan</t>
  </si>
  <si>
    <t>AF</t>
  </si>
  <si>
    <t>AFG</t>
  </si>
  <si>
    <t>OAS</t>
  </si>
  <si>
    <t>BE10</t>
  </si>
  <si>
    <t>Belgique/België</t>
  </si>
  <si>
    <t>Région de Bruxelles-Capitale/Brussels Hoofdstedelijk Gewest</t>
  </si>
  <si>
    <t>Région de Bruxelles-Capitale/ Brussels Hoofdstedelijk Gewest</t>
  </si>
  <si>
    <t>USA</t>
  </si>
  <si>
    <t>United States of America</t>
  </si>
  <si>
    <t>Albania</t>
  </si>
  <si>
    <t>AL</t>
  </si>
  <si>
    <t>ALB</t>
  </si>
  <si>
    <t>EUR</t>
  </si>
  <si>
    <t>BE21</t>
  </si>
  <si>
    <t>Vlaams Gewest</t>
  </si>
  <si>
    <t>Prov. Antwerpen</t>
  </si>
  <si>
    <t>BRA</t>
  </si>
  <si>
    <t>Brazil</t>
  </si>
  <si>
    <t>Algeria</t>
  </si>
  <si>
    <t>DZ</t>
  </si>
  <si>
    <t>DZA</t>
  </si>
  <si>
    <t>MEN</t>
  </si>
  <si>
    <t>BE22</t>
  </si>
  <si>
    <t>Prov. Limburg (BE)</t>
  </si>
  <si>
    <t>OSA</t>
  </si>
  <si>
    <t>Other S&amp;C America</t>
  </si>
  <si>
    <t>Other South, Central America &amp; Caribbean (incl. Mexico)</t>
  </si>
  <si>
    <t>Andorra</t>
  </si>
  <si>
    <t>AD</t>
  </si>
  <si>
    <t>AND</t>
  </si>
  <si>
    <t>BE23</t>
  </si>
  <si>
    <t>Prov. Oost-Vlaanderen</t>
  </si>
  <si>
    <t>FSU</t>
  </si>
  <si>
    <t>Former Soviet Union</t>
  </si>
  <si>
    <t>Former Soviet Union (European and Asian)</t>
  </si>
  <si>
    <t>Angola</t>
  </si>
  <si>
    <t>AO</t>
  </si>
  <si>
    <t>AGO</t>
  </si>
  <si>
    <t>SSA</t>
  </si>
  <si>
    <t>BE24</t>
  </si>
  <si>
    <t>Prov. Vlaams-Brabant</t>
  </si>
  <si>
    <t>Europe</t>
  </si>
  <si>
    <t>Europe (excl. Turkey)</t>
  </si>
  <si>
    <t>Anguilla</t>
  </si>
  <si>
    <t>AI</t>
  </si>
  <si>
    <t>AIA</t>
  </si>
  <si>
    <t>BE25</t>
  </si>
  <si>
    <t>Prov. West-Vlaanderen</t>
  </si>
  <si>
    <t>Middle-East/North Afr.</t>
  </si>
  <si>
    <t>Middle-East / North Africa (incl. Turkey)</t>
  </si>
  <si>
    <t>Antigua and Barbuda</t>
  </si>
  <si>
    <t>AG</t>
  </si>
  <si>
    <t>ATG</t>
  </si>
  <si>
    <t>BE31</t>
  </si>
  <si>
    <t>Région wallonne</t>
  </si>
  <si>
    <t>Prov. Brabant Wallon</t>
  </si>
  <si>
    <t>Sub-Saharan Afr.</t>
  </si>
  <si>
    <t>Sub-Saharan Africa</t>
  </si>
  <si>
    <t>Argentina</t>
  </si>
  <si>
    <t>AR</t>
  </si>
  <si>
    <t>ARG</t>
  </si>
  <si>
    <t>BE32</t>
  </si>
  <si>
    <t>Prov. Hainaut</t>
  </si>
  <si>
    <t>CHN</t>
  </si>
  <si>
    <t>China</t>
  </si>
  <si>
    <t>China (incl Hong-Kong, Macao)</t>
  </si>
  <si>
    <t>Armenia</t>
  </si>
  <si>
    <t>AM</t>
  </si>
  <si>
    <t>ARM</t>
  </si>
  <si>
    <t>BE33</t>
  </si>
  <si>
    <t>Prov. Liège</t>
  </si>
  <si>
    <t>IND</t>
  </si>
  <si>
    <t>India</t>
  </si>
  <si>
    <t>Aruba</t>
  </si>
  <si>
    <t>AW</t>
  </si>
  <si>
    <t>ABW</t>
  </si>
  <si>
    <t>BE34</t>
  </si>
  <si>
    <t>Prov. Luxembourg (BE)</t>
  </si>
  <si>
    <t>SEA</t>
  </si>
  <si>
    <t>South-East Asia</t>
  </si>
  <si>
    <t>South-East Asia (incl. Japan, Taiwan)</t>
  </si>
  <si>
    <t>Australia</t>
  </si>
  <si>
    <t>AU</t>
  </si>
  <si>
    <t>AUS</t>
  </si>
  <si>
    <t>ANZ</t>
  </si>
  <si>
    <t>BE35</t>
  </si>
  <si>
    <t>Prov. Namur</t>
  </si>
  <si>
    <t>Other Asia</t>
  </si>
  <si>
    <t>Other Asia (incl. Other Oceania)</t>
  </si>
  <si>
    <t>Austria</t>
  </si>
  <si>
    <t>AT</t>
  </si>
  <si>
    <t>AUT</t>
  </si>
  <si>
    <t>BG31</t>
  </si>
  <si>
    <t>Bulgaria</t>
  </si>
  <si>
    <t>Severna i Yugoiztochna Bulgaria</t>
  </si>
  <si>
    <t>Severozapaden</t>
  </si>
  <si>
    <t>Australia/New Zealand</t>
  </si>
  <si>
    <t>Azerbaijan</t>
  </si>
  <si>
    <t>AZ</t>
  </si>
  <si>
    <t>AZE</t>
  </si>
  <si>
    <t>BG32</t>
  </si>
  <si>
    <t>Severen tsentralen</t>
  </si>
  <si>
    <t>Bahamas</t>
  </si>
  <si>
    <t>BS</t>
  </si>
  <si>
    <t>BHS</t>
  </si>
  <si>
    <t>BG33</t>
  </si>
  <si>
    <t>Severoiztochen</t>
  </si>
  <si>
    <t>NAM</t>
  </si>
  <si>
    <t>North America</t>
  </si>
  <si>
    <t>North America (Canada &amp; USA)</t>
  </si>
  <si>
    <t>CAN+USA</t>
  </si>
  <si>
    <t>Bahrain</t>
  </si>
  <si>
    <t>BH</t>
  </si>
  <si>
    <t>BHR</t>
  </si>
  <si>
    <t>BG34</t>
  </si>
  <si>
    <t>Yugoiztochen</t>
  </si>
  <si>
    <t>OAM</t>
  </si>
  <si>
    <t>S&amp;C America</t>
  </si>
  <si>
    <t>Other Americas (South, Central &amp; Caribbean)</t>
  </si>
  <si>
    <t>BRA+OSA</t>
  </si>
  <si>
    <t>Bangladesh</t>
  </si>
  <si>
    <t>BD</t>
  </si>
  <si>
    <t>BGD</t>
  </si>
  <si>
    <t>BG41</t>
  </si>
  <si>
    <t>Yugozapadna i Yuzhna tsentralna Bulgaria</t>
  </si>
  <si>
    <t>Yugozapaden</t>
  </si>
  <si>
    <t>AME</t>
  </si>
  <si>
    <t>Africa &amp; Middle East</t>
  </si>
  <si>
    <t>MEN + SSA</t>
  </si>
  <si>
    <t>Barbados</t>
  </si>
  <si>
    <t>BB</t>
  </si>
  <si>
    <t>BRB</t>
  </si>
  <si>
    <t>BG42</t>
  </si>
  <si>
    <t>Yuzhen tsentralen</t>
  </si>
  <si>
    <t>SAS</t>
  </si>
  <si>
    <t>Southern Asia</t>
  </si>
  <si>
    <t>CHN + IND +SEA + OAS</t>
  </si>
  <si>
    <t>Belarus</t>
  </si>
  <si>
    <t>BY</t>
  </si>
  <si>
    <t>BLR</t>
  </si>
  <si>
    <t>CZ01</t>
  </si>
  <si>
    <t>Česko</t>
  </si>
  <si>
    <t>Praha</t>
  </si>
  <si>
    <t>Belgium</t>
  </si>
  <si>
    <t>BE</t>
  </si>
  <si>
    <t>BEL</t>
  </si>
  <si>
    <t>CZ02</t>
  </si>
  <si>
    <t>Střední Čechy</t>
  </si>
  <si>
    <t>World</t>
  </si>
  <si>
    <t>Belize</t>
  </si>
  <si>
    <t>BZ</t>
  </si>
  <si>
    <t>BLZ</t>
  </si>
  <si>
    <t>CZ03</t>
  </si>
  <si>
    <t>Jihozápad</t>
  </si>
  <si>
    <t>Benin</t>
  </si>
  <si>
    <t>BJ</t>
  </si>
  <si>
    <t>BEN</t>
  </si>
  <si>
    <t>CZ04</t>
  </si>
  <si>
    <t>Severozápad</t>
  </si>
  <si>
    <t>European Union</t>
  </si>
  <si>
    <t>Bermuda</t>
  </si>
  <si>
    <t>BM</t>
  </si>
  <si>
    <t>BMU</t>
  </si>
  <si>
    <t>CZ05</t>
  </si>
  <si>
    <t>Severovýchod</t>
  </si>
  <si>
    <t>EUE</t>
  </si>
  <si>
    <t>EU27 Members States</t>
  </si>
  <si>
    <t>Bhutan</t>
  </si>
  <si>
    <t>BT</t>
  </si>
  <si>
    <t>BTN</t>
  </si>
  <si>
    <t>CZ06</t>
  </si>
  <si>
    <t>Jihovýchod</t>
  </si>
  <si>
    <t>Bolivia</t>
  </si>
  <si>
    <t>BO</t>
  </si>
  <si>
    <t>BOL</t>
  </si>
  <si>
    <t>CZ07</t>
  </si>
  <si>
    <t>Střední Morava</t>
  </si>
  <si>
    <t>Bosnia and Herzegovina</t>
  </si>
  <si>
    <t>BA</t>
  </si>
  <si>
    <t>BIH</t>
  </si>
  <si>
    <t>CZ08</t>
  </si>
  <si>
    <t>Moravskoslezsko</t>
  </si>
  <si>
    <t>BGR</t>
  </si>
  <si>
    <t>Botswana</t>
  </si>
  <si>
    <t>BW</t>
  </si>
  <si>
    <t>BWA</t>
  </si>
  <si>
    <t>DK01</t>
  </si>
  <si>
    <t>Danmark</t>
  </si>
  <si>
    <t>Hovedstaden</t>
  </si>
  <si>
    <t>CYP</t>
  </si>
  <si>
    <t>Cyprus</t>
  </si>
  <si>
    <t>BR</t>
  </si>
  <si>
    <t>DK02</t>
  </si>
  <si>
    <t>Sjælland</t>
  </si>
  <si>
    <t>CZE</t>
  </si>
  <si>
    <t>Czech Republic</t>
  </si>
  <si>
    <t>British Virgin Islands</t>
  </si>
  <si>
    <t>VG</t>
  </si>
  <si>
    <t>VGB</t>
  </si>
  <si>
    <t>DK03</t>
  </si>
  <si>
    <t>Syddanmark</t>
  </si>
  <si>
    <t>DEU</t>
  </si>
  <si>
    <t>Germany</t>
  </si>
  <si>
    <t>Brunei Darussalam</t>
  </si>
  <si>
    <t>BN</t>
  </si>
  <si>
    <t>BRN</t>
  </si>
  <si>
    <t>DK04</t>
  </si>
  <si>
    <t>Midtjylland</t>
  </si>
  <si>
    <t>DNK</t>
  </si>
  <si>
    <t>Denmark</t>
  </si>
  <si>
    <t>BG</t>
  </si>
  <si>
    <t>DK05</t>
  </si>
  <si>
    <t>Nordjylland</t>
  </si>
  <si>
    <t>ESP</t>
  </si>
  <si>
    <t>Spain</t>
  </si>
  <si>
    <t>Burkina Faso</t>
  </si>
  <si>
    <t>BF</t>
  </si>
  <si>
    <t>BFA</t>
  </si>
  <si>
    <t>DE11</t>
  </si>
  <si>
    <t>Deutschland</t>
  </si>
  <si>
    <t>Baden-Württemberg</t>
  </si>
  <si>
    <t>Stuttgart</t>
  </si>
  <si>
    <t>EST</t>
  </si>
  <si>
    <t>Estonia</t>
  </si>
  <si>
    <t>Burundi</t>
  </si>
  <si>
    <t>BI</t>
  </si>
  <si>
    <t>BDI</t>
  </si>
  <si>
    <t>DE12</t>
  </si>
  <si>
    <t>Karlsruhe</t>
  </si>
  <si>
    <t>FIN</t>
  </si>
  <si>
    <t>Finland</t>
  </si>
  <si>
    <t>Cambodia</t>
  </si>
  <si>
    <t>KH</t>
  </si>
  <si>
    <t>KHM</t>
  </si>
  <si>
    <t>DE13</t>
  </si>
  <si>
    <t>Freiburg</t>
  </si>
  <si>
    <t>FRA</t>
  </si>
  <si>
    <t>France</t>
  </si>
  <si>
    <t>Cameroon</t>
  </si>
  <si>
    <t>CM</t>
  </si>
  <si>
    <t>CMR</t>
  </si>
  <si>
    <t>DE14</t>
  </si>
  <si>
    <t>Tübingen</t>
  </si>
  <si>
    <t>GRC</t>
  </si>
  <si>
    <t>Greece</t>
  </si>
  <si>
    <t>CA</t>
  </si>
  <si>
    <t>DE21</t>
  </si>
  <si>
    <t>Bayern</t>
  </si>
  <si>
    <t>Oberbayern</t>
  </si>
  <si>
    <t>HRV</t>
  </si>
  <si>
    <t>Croatia</t>
  </si>
  <si>
    <t>Cape Verde</t>
  </si>
  <si>
    <t>CV</t>
  </si>
  <si>
    <t>CPV</t>
  </si>
  <si>
    <t>DE22</t>
  </si>
  <si>
    <t>Niederbayern</t>
  </si>
  <si>
    <t>HUN</t>
  </si>
  <si>
    <t>Hungary</t>
  </si>
  <si>
    <t>Cayman Islands</t>
  </si>
  <si>
    <t>KY</t>
  </si>
  <si>
    <t>CYM</t>
  </si>
  <si>
    <t>DE23</t>
  </si>
  <si>
    <t>Oberpfalz</t>
  </si>
  <si>
    <t>IRL</t>
  </si>
  <si>
    <t>Ireland</t>
  </si>
  <si>
    <t>Cent African Rep</t>
  </si>
  <si>
    <t>CF</t>
  </si>
  <si>
    <t>CAF</t>
  </si>
  <si>
    <t>DE24</t>
  </si>
  <si>
    <t>Oberfranken</t>
  </si>
  <si>
    <t>ITA</t>
  </si>
  <si>
    <t>Italy</t>
  </si>
  <si>
    <t>Chad</t>
  </si>
  <si>
    <t>TD</t>
  </si>
  <si>
    <t>TCD</t>
  </si>
  <si>
    <t>DE25</t>
  </si>
  <si>
    <t>Mittelfranken</t>
  </si>
  <si>
    <t>LTU</t>
  </si>
  <si>
    <t>Lithuania</t>
  </si>
  <si>
    <t>Chile</t>
  </si>
  <si>
    <t>CL</t>
  </si>
  <si>
    <t>CHL</t>
  </si>
  <si>
    <t>DE26</t>
  </si>
  <si>
    <t>Unterfranken</t>
  </si>
  <si>
    <t>LUX</t>
  </si>
  <si>
    <t>Luxembourg</t>
  </si>
  <si>
    <t>CN</t>
  </si>
  <si>
    <t>DE27</t>
  </si>
  <si>
    <t>Schwaben</t>
  </si>
  <si>
    <t>LVA</t>
  </si>
  <si>
    <t>Latvia</t>
  </si>
  <si>
    <t>Colombia</t>
  </si>
  <si>
    <t>CO</t>
  </si>
  <si>
    <t>COL</t>
  </si>
  <si>
    <t>DE30</t>
  </si>
  <si>
    <t>Berlin</t>
  </si>
  <si>
    <t>MLT</t>
  </si>
  <si>
    <t>Malta</t>
  </si>
  <si>
    <t>Comoros</t>
  </si>
  <si>
    <t>KM</t>
  </si>
  <si>
    <t>COM</t>
  </si>
  <si>
    <t>DE40</t>
  </si>
  <si>
    <t>Brandenburg</t>
  </si>
  <si>
    <t>Netherlands</t>
  </si>
  <si>
    <t>Congo</t>
  </si>
  <si>
    <t>CG</t>
  </si>
  <si>
    <t>COG</t>
  </si>
  <si>
    <t>DE50</t>
  </si>
  <si>
    <t>Bremen</t>
  </si>
  <si>
    <t>POL</t>
  </si>
  <si>
    <t>Poland</t>
  </si>
  <si>
    <t>Cook Islands</t>
  </si>
  <si>
    <t>CK</t>
  </si>
  <si>
    <t>COK</t>
  </si>
  <si>
    <t>DE60</t>
  </si>
  <si>
    <t>Hamburg</t>
  </si>
  <si>
    <t>PRT</t>
  </si>
  <si>
    <t>Portugal</t>
  </si>
  <si>
    <t>Costa Rica</t>
  </si>
  <si>
    <t>CR</t>
  </si>
  <si>
    <t>CRI</t>
  </si>
  <si>
    <t>DE71</t>
  </si>
  <si>
    <t>Hessen</t>
  </si>
  <si>
    <t>Darmstadt</t>
  </si>
  <si>
    <t>ROU</t>
  </si>
  <si>
    <t>Romania</t>
  </si>
  <si>
    <t>Côte d'Ivoire</t>
  </si>
  <si>
    <t>CI</t>
  </si>
  <si>
    <t>CIV</t>
  </si>
  <si>
    <t>DE72</t>
  </si>
  <si>
    <t>Gießen</t>
  </si>
  <si>
    <t>SVK</t>
  </si>
  <si>
    <t>Slovakia</t>
  </si>
  <si>
    <t>HR</t>
  </si>
  <si>
    <t>DE73</t>
  </si>
  <si>
    <t>Kassel</t>
  </si>
  <si>
    <t>SVN</t>
  </si>
  <si>
    <t>Slovenia</t>
  </si>
  <si>
    <t>Cuba</t>
  </si>
  <si>
    <t>CU</t>
  </si>
  <si>
    <t>CUB</t>
  </si>
  <si>
    <t>DE80</t>
  </si>
  <si>
    <t>Mecklenburg-Vorpommern</t>
  </si>
  <si>
    <t>SWE</t>
  </si>
  <si>
    <t>Sweden</t>
  </si>
  <si>
    <t>CY</t>
  </si>
  <si>
    <t>DE91</t>
  </si>
  <si>
    <t>Niedersachsen</t>
  </si>
  <si>
    <t>Braunschweig</t>
  </si>
  <si>
    <t>BLX</t>
  </si>
  <si>
    <t>Belgium and Luxemburg</t>
  </si>
  <si>
    <t>CZ</t>
  </si>
  <si>
    <t>DE92</t>
  </si>
  <si>
    <t>Hannover</t>
  </si>
  <si>
    <t>GCM</t>
  </si>
  <si>
    <t>Greece, Cyprus and Malta</t>
  </si>
  <si>
    <t>People's Republic of Korea</t>
  </si>
  <si>
    <t>KP</t>
  </si>
  <si>
    <t>PRK</t>
  </si>
  <si>
    <t>DE93</t>
  </si>
  <si>
    <t>Lüneburg</t>
  </si>
  <si>
    <t>GBR</t>
  </si>
  <si>
    <t>Great Britain</t>
  </si>
  <si>
    <t>Dem. Rep. of Congo</t>
  </si>
  <si>
    <t>CD</t>
  </si>
  <si>
    <t>COD</t>
  </si>
  <si>
    <t>DE94</t>
  </si>
  <si>
    <t>Weser-Ems</t>
  </si>
  <si>
    <t>NOR</t>
  </si>
  <si>
    <t>Norway</t>
  </si>
  <si>
    <t>DK</t>
  </si>
  <si>
    <t>DEA1</t>
  </si>
  <si>
    <t>Nordrhein-Westfalen</t>
  </si>
  <si>
    <t>Düsseldorf</t>
  </si>
  <si>
    <t>REU</t>
  </si>
  <si>
    <t>Rest of Europe</t>
  </si>
  <si>
    <t>Djibouti</t>
  </si>
  <si>
    <t>DJ</t>
  </si>
  <si>
    <t>DJI</t>
  </si>
  <si>
    <t>DEA2</t>
  </si>
  <si>
    <t>Köln</t>
  </si>
  <si>
    <t>Dominica</t>
  </si>
  <si>
    <t>DM</t>
  </si>
  <si>
    <t>DMA</t>
  </si>
  <si>
    <t>DEA3</t>
  </si>
  <si>
    <t>Münster</t>
  </si>
  <si>
    <t>NUTS2</t>
  </si>
  <si>
    <t>add English names! @Ipsita</t>
  </si>
  <si>
    <t>Dominican Republic</t>
  </si>
  <si>
    <t>DO</t>
  </si>
  <si>
    <t>DOM</t>
  </si>
  <si>
    <t>DEA4</t>
  </si>
  <si>
    <t>Detmold</t>
  </si>
  <si>
    <t>Ecuador</t>
  </si>
  <si>
    <t>EC</t>
  </si>
  <si>
    <t>ECU</t>
  </si>
  <si>
    <t>DEA5</t>
  </si>
  <si>
    <t>Arnsberg</t>
  </si>
  <si>
    <t>Egypt</t>
  </si>
  <si>
    <t>EG</t>
  </si>
  <si>
    <t>EGY</t>
  </si>
  <si>
    <t>DEB1</t>
  </si>
  <si>
    <t>Rheinland-Pfalz</t>
  </si>
  <si>
    <t>Koblenz</t>
  </si>
  <si>
    <t>El Salvador</t>
  </si>
  <si>
    <t>SV</t>
  </si>
  <si>
    <t>SLV</t>
  </si>
  <si>
    <t>DEB2</t>
  </si>
  <si>
    <t>Trier</t>
  </si>
  <si>
    <t>Equatorial Guinea</t>
  </si>
  <si>
    <t>GQ</t>
  </si>
  <si>
    <t>GNQ</t>
  </si>
  <si>
    <t>DEB3</t>
  </si>
  <si>
    <t>Rheinhessen-Pfalz</t>
  </si>
  <si>
    <t>Eritrea</t>
  </si>
  <si>
    <t>ER</t>
  </si>
  <si>
    <t>ERI</t>
  </si>
  <si>
    <t>Saarland</t>
  </si>
  <si>
    <t>EE</t>
  </si>
  <si>
    <t>DED2</t>
  </si>
  <si>
    <t>Sachsen</t>
  </si>
  <si>
    <t>Dresden</t>
  </si>
  <si>
    <t>Ethiopia</t>
  </si>
  <si>
    <t>ET</t>
  </si>
  <si>
    <t>ETH</t>
  </si>
  <si>
    <t>DED4</t>
  </si>
  <si>
    <t>Chemnitz</t>
  </si>
  <si>
    <t>Falkland Islands</t>
  </si>
  <si>
    <t>FK</t>
  </si>
  <si>
    <t>FLK</t>
  </si>
  <si>
    <t>DED5</t>
  </si>
  <si>
    <t>Leipzig</t>
  </si>
  <si>
    <t>Fiji</t>
  </si>
  <si>
    <t>FJ</t>
  </si>
  <si>
    <t>FJI</t>
  </si>
  <si>
    <t>DEE0</t>
  </si>
  <si>
    <t>Sachsen-Anhalt</t>
  </si>
  <si>
    <t>FI</t>
  </si>
  <si>
    <t>DEF0</t>
  </si>
  <si>
    <t>Schleswig-Holstein</t>
  </si>
  <si>
    <t>FR</t>
  </si>
  <si>
    <t>DEG0</t>
  </si>
  <si>
    <t>Thüringen</t>
  </si>
  <si>
    <t>French Polynesia</t>
  </si>
  <si>
    <t>PF</t>
  </si>
  <si>
    <t>PYF</t>
  </si>
  <si>
    <t>EE00</t>
  </si>
  <si>
    <t>Eesti</t>
  </si>
  <si>
    <t>Gabon</t>
  </si>
  <si>
    <t>GA</t>
  </si>
  <si>
    <t>GAB</t>
  </si>
  <si>
    <t>IE04</t>
  </si>
  <si>
    <t>Éire/Ireland</t>
  </si>
  <si>
    <t>Northern and Western</t>
  </si>
  <si>
    <t>Gambia</t>
  </si>
  <si>
    <t>GM</t>
  </si>
  <si>
    <t>GMB</t>
  </si>
  <si>
    <t>IE05</t>
  </si>
  <si>
    <t>Southern</t>
  </si>
  <si>
    <t>Georgia</t>
  </si>
  <si>
    <t>GE</t>
  </si>
  <si>
    <t>GEO</t>
  </si>
  <si>
    <t>IE06</t>
  </si>
  <si>
    <t>Eastern and Midland</t>
  </si>
  <si>
    <t>DE</t>
  </si>
  <si>
    <t>EL30</t>
  </si>
  <si>
    <t>Elláda</t>
  </si>
  <si>
    <t>Attiki</t>
  </si>
  <si>
    <t>Ghana</t>
  </si>
  <si>
    <t>GH</t>
  </si>
  <si>
    <t>GHA</t>
  </si>
  <si>
    <t>EL41</t>
  </si>
  <si>
    <t>Nisia Aigaiou, Kriti</t>
  </si>
  <si>
    <t>Voreio Aigaio</t>
  </si>
  <si>
    <t>Gibraltar</t>
  </si>
  <si>
    <t>GI</t>
  </si>
  <si>
    <t>GIB</t>
  </si>
  <si>
    <t>EL42</t>
  </si>
  <si>
    <t>Notio Aigaio</t>
  </si>
  <si>
    <t>GR</t>
  </si>
  <si>
    <t>EL43</t>
  </si>
  <si>
    <t>Kriti</t>
  </si>
  <si>
    <t>Grenada</t>
  </si>
  <si>
    <t>GD</t>
  </si>
  <si>
    <t>GRD</t>
  </si>
  <si>
    <t>EL51</t>
  </si>
  <si>
    <t>Voreia Elláda</t>
  </si>
  <si>
    <t>Anatoliki Makedonia, Thraki</t>
  </si>
  <si>
    <t>Guadeloupe</t>
  </si>
  <si>
    <t>GP</t>
  </si>
  <si>
    <t>GLP</t>
  </si>
  <si>
    <t>EL52</t>
  </si>
  <si>
    <t>Kentriki Makedonia</t>
  </si>
  <si>
    <t>Guatemala</t>
  </si>
  <si>
    <t>GT</t>
  </si>
  <si>
    <t>GTM</t>
  </si>
  <si>
    <t>EL53</t>
  </si>
  <si>
    <t>Dytiki Makedonia</t>
  </si>
  <si>
    <t>Guinea</t>
  </si>
  <si>
    <t>GN</t>
  </si>
  <si>
    <t>GIN</t>
  </si>
  <si>
    <t>EL54</t>
  </si>
  <si>
    <t>Ipeiros</t>
  </si>
  <si>
    <t>Guinea-Bissau</t>
  </si>
  <si>
    <t>GW</t>
  </si>
  <si>
    <t>GNB</t>
  </si>
  <si>
    <t>EL61</t>
  </si>
  <si>
    <t>Kentriki Elláda</t>
  </si>
  <si>
    <t>Thessalia</t>
  </si>
  <si>
    <t>Guyana</t>
  </si>
  <si>
    <t>GY</t>
  </si>
  <si>
    <t>GUY</t>
  </si>
  <si>
    <t>EL62</t>
  </si>
  <si>
    <t>Ionia Nisia</t>
  </si>
  <si>
    <t>Haiti</t>
  </si>
  <si>
    <t>HT</t>
  </si>
  <si>
    <t>HTI</t>
  </si>
  <si>
    <t>EL63</t>
  </si>
  <si>
    <t>Dytiki Elláda</t>
  </si>
  <si>
    <t>Holy See</t>
  </si>
  <si>
    <t>VA</t>
  </si>
  <si>
    <t>VAT</t>
  </si>
  <si>
    <t>EL64</t>
  </si>
  <si>
    <t>Sterea Elláda</t>
  </si>
  <si>
    <t>Honduras</t>
  </si>
  <si>
    <t>HN</t>
  </si>
  <si>
    <t>HND</t>
  </si>
  <si>
    <t>EL65</t>
  </si>
  <si>
    <t>Peloponnisos</t>
  </si>
  <si>
    <t>Hong Kong</t>
  </si>
  <si>
    <t>HK</t>
  </si>
  <si>
    <t>HKG</t>
  </si>
  <si>
    <t>ES11</t>
  </si>
  <si>
    <t>España</t>
  </si>
  <si>
    <t>Noroeste</t>
  </si>
  <si>
    <t>Galicia</t>
  </si>
  <si>
    <t>HU</t>
  </si>
  <si>
    <t>ES12</t>
  </si>
  <si>
    <t>Principado de Asturias</t>
  </si>
  <si>
    <t>Iceland</t>
  </si>
  <si>
    <t>IS</t>
  </si>
  <si>
    <t>ISL</t>
  </si>
  <si>
    <t>ES13</t>
  </si>
  <si>
    <t>Cantabria</t>
  </si>
  <si>
    <t>IN</t>
  </si>
  <si>
    <t>ES21</t>
  </si>
  <si>
    <t>Noreste</t>
  </si>
  <si>
    <t>País Vasco</t>
  </si>
  <si>
    <t>Indonesia</t>
  </si>
  <si>
    <t>ID</t>
  </si>
  <si>
    <t>IDN</t>
  </si>
  <si>
    <t>ES22</t>
  </si>
  <si>
    <t>Comunidad Foral de Navarra</t>
  </si>
  <si>
    <t>Iran</t>
  </si>
  <si>
    <t>IR</t>
  </si>
  <si>
    <t>IRN</t>
  </si>
  <si>
    <t>ES23</t>
  </si>
  <si>
    <t>La Rioja</t>
  </si>
  <si>
    <t>Iraq</t>
  </si>
  <si>
    <t>IQ</t>
  </si>
  <si>
    <t>IRQ</t>
  </si>
  <si>
    <t>ES24</t>
  </si>
  <si>
    <t>Aragón</t>
  </si>
  <si>
    <t>IE</t>
  </si>
  <si>
    <t>ES30</t>
  </si>
  <si>
    <t>Comunidad de Madrid</t>
  </si>
  <si>
    <t>Israel</t>
  </si>
  <si>
    <t>IL</t>
  </si>
  <si>
    <t>ISR</t>
  </si>
  <si>
    <t>ES41</t>
  </si>
  <si>
    <t>Centro (ES)</t>
  </si>
  <si>
    <t>Castilla y León</t>
  </si>
  <si>
    <t>IT</t>
  </si>
  <si>
    <t>ES42</t>
  </si>
  <si>
    <t>Castilla-La Mancha</t>
  </si>
  <si>
    <t>Jamaica</t>
  </si>
  <si>
    <t>JM</t>
  </si>
  <si>
    <t>JAM</t>
  </si>
  <si>
    <t>ES43</t>
  </si>
  <si>
    <t>Extremadura</t>
  </si>
  <si>
    <t>Japan</t>
  </si>
  <si>
    <t>JP</t>
  </si>
  <si>
    <t>JPN</t>
  </si>
  <si>
    <t>ES51</t>
  </si>
  <si>
    <t>Este</t>
  </si>
  <si>
    <t>Cataluña</t>
  </si>
  <si>
    <t>Jordan</t>
  </si>
  <si>
    <t>JO</t>
  </si>
  <si>
    <t>JOR</t>
  </si>
  <si>
    <t>ES52</t>
  </si>
  <si>
    <t xml:space="preserve">Comunitat Valenciana </t>
  </si>
  <si>
    <t>Kazakhstan</t>
  </si>
  <si>
    <t>KZ</t>
  </si>
  <si>
    <t>KAZ</t>
  </si>
  <si>
    <t>ES53</t>
  </si>
  <si>
    <t>Illes Balears</t>
  </si>
  <si>
    <t>Kenya</t>
  </si>
  <si>
    <t>KE</t>
  </si>
  <si>
    <t>KEN</t>
  </si>
  <si>
    <t>ES61</t>
  </si>
  <si>
    <t>Sur</t>
  </si>
  <si>
    <t>Andalucía</t>
  </si>
  <si>
    <t>Kiribati</t>
  </si>
  <si>
    <t>KI</t>
  </si>
  <si>
    <t>KIR</t>
  </si>
  <si>
    <t>ES62</t>
  </si>
  <si>
    <t>Región de Murcia</t>
  </si>
  <si>
    <t>Kuwait</t>
  </si>
  <si>
    <t>KW</t>
  </si>
  <si>
    <t>KWT</t>
  </si>
  <si>
    <t>ES63</t>
  </si>
  <si>
    <t>Ciudad de Ceuta</t>
  </si>
  <si>
    <t>Kyrgyzstan</t>
  </si>
  <si>
    <t>KG</t>
  </si>
  <si>
    <t>KGZ</t>
  </si>
  <si>
    <t>ES64</t>
  </si>
  <si>
    <t>Ciudad de Melilla</t>
  </si>
  <si>
    <t>Lao People's Dem. Rep.</t>
  </si>
  <si>
    <t>LA</t>
  </si>
  <si>
    <t>LAO</t>
  </si>
  <si>
    <t>ES70</t>
  </si>
  <si>
    <t>Canarias</t>
  </si>
  <si>
    <t>LV</t>
  </si>
  <si>
    <t>FR10</t>
  </si>
  <si>
    <t>Ile-de-France</t>
  </si>
  <si>
    <t>Lebanon</t>
  </si>
  <si>
    <t>LB</t>
  </si>
  <si>
    <t>LBN</t>
  </si>
  <si>
    <t>FRB0</t>
  </si>
  <si>
    <t>Centre — Val de Loire</t>
  </si>
  <si>
    <t>Lesotho</t>
  </si>
  <si>
    <t>LS</t>
  </si>
  <si>
    <t>LSO</t>
  </si>
  <si>
    <t>FRC1</t>
  </si>
  <si>
    <t>Bourgogne-Franche-Comté</t>
  </si>
  <si>
    <t>Bourgogne</t>
  </si>
  <si>
    <t>Liberia</t>
  </si>
  <si>
    <t>LR</t>
  </si>
  <si>
    <t>LBR</t>
  </si>
  <si>
    <t>FRC2</t>
  </si>
  <si>
    <t>Franche-Comté</t>
  </si>
  <si>
    <t>Libyan Arab Jamahiriya</t>
  </si>
  <si>
    <t>LY</t>
  </si>
  <si>
    <t>LBY</t>
  </si>
  <si>
    <t>FRD1</t>
  </si>
  <si>
    <t>Normandie</t>
  </si>
  <si>
    <t xml:space="preserve">Basse-Normandie </t>
  </si>
  <si>
    <t>Liechtenstein</t>
  </si>
  <si>
    <t>LI</t>
  </si>
  <si>
    <t>LIE</t>
  </si>
  <si>
    <t>FRD2</t>
  </si>
  <si>
    <t xml:space="preserve">Haute-Normandie </t>
  </si>
  <si>
    <t>LT</t>
  </si>
  <si>
    <t>FRE1</t>
  </si>
  <si>
    <t>Hauts-de-France</t>
  </si>
  <si>
    <t>Nord-Pas de Calais</t>
  </si>
  <si>
    <t>LU</t>
  </si>
  <si>
    <t>FRE2</t>
  </si>
  <si>
    <t>Picardie</t>
  </si>
  <si>
    <t>Macao, China</t>
  </si>
  <si>
    <t>MO</t>
  </si>
  <si>
    <t>MAC</t>
  </si>
  <si>
    <t>FRF1</t>
  </si>
  <si>
    <t>Grand Est</t>
  </si>
  <si>
    <t>Alsace</t>
  </si>
  <si>
    <t>Madagascar</t>
  </si>
  <si>
    <t>MG</t>
  </si>
  <si>
    <t>MDG</t>
  </si>
  <si>
    <t>FRF2</t>
  </si>
  <si>
    <t>Champagne-Ardenne</t>
  </si>
  <si>
    <t>Malawi</t>
  </si>
  <si>
    <t>MW</t>
  </si>
  <si>
    <t>MWI</t>
  </si>
  <si>
    <t>FRF3</t>
  </si>
  <si>
    <t>Lorraine</t>
  </si>
  <si>
    <t>Malaysia</t>
  </si>
  <si>
    <t>MY</t>
  </si>
  <si>
    <t>MYS</t>
  </si>
  <si>
    <t>FRG0</t>
  </si>
  <si>
    <t>Pays de la Loire</t>
  </si>
  <si>
    <t>Maldives</t>
  </si>
  <si>
    <t>MV</t>
  </si>
  <si>
    <t>MDV</t>
  </si>
  <si>
    <t>FRH0</t>
  </si>
  <si>
    <t>Bretagne</t>
  </si>
  <si>
    <t>Mali</t>
  </si>
  <si>
    <t>ML</t>
  </si>
  <si>
    <t>MLI</t>
  </si>
  <si>
    <t>FRI1</t>
  </si>
  <si>
    <t>Nouvelle-Aquitaine</t>
  </si>
  <si>
    <t>Aquitaine</t>
  </si>
  <si>
    <t>MT</t>
  </si>
  <si>
    <t>FRI2</t>
  </si>
  <si>
    <t>Limousin</t>
  </si>
  <si>
    <t>Marshall Islands</t>
  </si>
  <si>
    <t>MH</t>
  </si>
  <si>
    <t>MHL</t>
  </si>
  <si>
    <t>FRI3</t>
  </si>
  <si>
    <t>Poitou-Charentes</t>
  </si>
  <si>
    <t>Mauritania</t>
  </si>
  <si>
    <t>MR</t>
  </si>
  <si>
    <t>MRT</t>
  </si>
  <si>
    <t>FRJ1</t>
  </si>
  <si>
    <t>Occitanie</t>
  </si>
  <si>
    <t>Languedoc-Roussillon</t>
  </si>
  <si>
    <t>Mauritius</t>
  </si>
  <si>
    <t>MU</t>
  </si>
  <si>
    <t>MUS</t>
  </si>
  <si>
    <t>FRJ2</t>
  </si>
  <si>
    <t>Midi-Pyrénées</t>
  </si>
  <si>
    <t>Mexico</t>
  </si>
  <si>
    <t>MX</t>
  </si>
  <si>
    <t>MEX</t>
  </si>
  <si>
    <t>FRK1</t>
  </si>
  <si>
    <t>Auvergne-Rhône-Alpes</t>
  </si>
  <si>
    <t>Auvergne</t>
  </si>
  <si>
    <t>Micronesia (Federated States of)</t>
  </si>
  <si>
    <t>FM</t>
  </si>
  <si>
    <t>FSM</t>
  </si>
  <si>
    <t>FRK2</t>
  </si>
  <si>
    <t>Rhône-Alpes</t>
  </si>
  <si>
    <t>Monaco</t>
  </si>
  <si>
    <t>MC</t>
  </si>
  <si>
    <t>MCO</t>
  </si>
  <si>
    <t>FRL0</t>
  </si>
  <si>
    <t>Provence-Alpes-Côte d’Azur</t>
  </si>
  <si>
    <t>Mongolia</t>
  </si>
  <si>
    <t>MN</t>
  </si>
  <si>
    <t>MNG</t>
  </si>
  <si>
    <t>FRM0</t>
  </si>
  <si>
    <t>Corse</t>
  </si>
  <si>
    <t>Montenegro</t>
  </si>
  <si>
    <t>ME</t>
  </si>
  <si>
    <t>MNE</t>
  </si>
  <si>
    <t>FRY1</t>
  </si>
  <si>
    <t>RUP FR — Régions Ultrapériphériques Françaises</t>
  </si>
  <si>
    <t>Montserrat</t>
  </si>
  <si>
    <t>MS</t>
  </si>
  <si>
    <t>MSR</t>
  </si>
  <si>
    <t>FRY2</t>
  </si>
  <si>
    <t xml:space="preserve">Martinique </t>
  </si>
  <si>
    <t>Morocco</t>
  </si>
  <si>
    <t>MA</t>
  </si>
  <si>
    <t>MAR</t>
  </si>
  <si>
    <t>FRY3</t>
  </si>
  <si>
    <t>Guyane</t>
  </si>
  <si>
    <t>Mozambique</t>
  </si>
  <si>
    <t>MZ</t>
  </si>
  <si>
    <t>MOZ</t>
  </si>
  <si>
    <t>FRY4</t>
  </si>
  <si>
    <t xml:space="preserve">La Réunion </t>
  </si>
  <si>
    <t>Myanmar (Burma)</t>
  </si>
  <si>
    <t>MM</t>
  </si>
  <si>
    <t>MMR</t>
  </si>
  <si>
    <t>FRY5</t>
  </si>
  <si>
    <t>Mayotte</t>
  </si>
  <si>
    <t>Namibia</t>
  </si>
  <si>
    <t>NA</t>
  </si>
  <si>
    <t>HR02</t>
  </si>
  <si>
    <t>Hrvatska</t>
  </si>
  <si>
    <t>Panonska Hrvatska</t>
  </si>
  <si>
    <t>Nauru</t>
  </si>
  <si>
    <t>NR</t>
  </si>
  <si>
    <t>NRU</t>
  </si>
  <si>
    <t>HR03</t>
  </si>
  <si>
    <t>Jadranska Hrvatska</t>
  </si>
  <si>
    <t>Nepal</t>
  </si>
  <si>
    <t>NP</t>
  </si>
  <si>
    <t>NPL</t>
  </si>
  <si>
    <t>HR05</t>
  </si>
  <si>
    <t>Grad Zagreb</t>
  </si>
  <si>
    <t>NL</t>
  </si>
  <si>
    <t>HR06</t>
  </si>
  <si>
    <t>Sjeverna Hrvatska</t>
  </si>
  <si>
    <t>Netherlands Antilles</t>
  </si>
  <si>
    <t>ANT</t>
  </si>
  <si>
    <t>ITC1</t>
  </si>
  <si>
    <t>Italia</t>
  </si>
  <si>
    <t>Nord-Ovest</t>
  </si>
  <si>
    <t>Piemonte</t>
  </si>
  <si>
    <t>New Caledonia</t>
  </si>
  <si>
    <t>NC</t>
  </si>
  <si>
    <t>NCL</t>
  </si>
  <si>
    <t>ITC2</t>
  </si>
  <si>
    <t>Valle d’Aosta/Vallée d’Aoste</t>
  </si>
  <si>
    <t>New Zealand</t>
  </si>
  <si>
    <t>NZ</t>
  </si>
  <si>
    <t>NZL</t>
  </si>
  <si>
    <t>ITC3</t>
  </si>
  <si>
    <t>Liguria</t>
  </si>
  <si>
    <t>Nicaragua</t>
  </si>
  <si>
    <t>NI</t>
  </si>
  <si>
    <t>NIC</t>
  </si>
  <si>
    <t>ITC4</t>
  </si>
  <si>
    <t>Lombardia</t>
  </si>
  <si>
    <t>Niger</t>
  </si>
  <si>
    <t>NE</t>
  </si>
  <si>
    <t>NER</t>
  </si>
  <si>
    <t>ITF1</t>
  </si>
  <si>
    <t>Sud</t>
  </si>
  <si>
    <t>Abruzzo</t>
  </si>
  <si>
    <t>Nigeria</t>
  </si>
  <si>
    <t>NG</t>
  </si>
  <si>
    <t>NGA</t>
  </si>
  <si>
    <t>ITF2</t>
  </si>
  <si>
    <t>Molise</t>
  </si>
  <si>
    <t>Niue</t>
  </si>
  <si>
    <t>NU</t>
  </si>
  <si>
    <t>NIU</t>
  </si>
  <si>
    <t>ITF3</t>
  </si>
  <si>
    <t>Campania</t>
  </si>
  <si>
    <t>NO</t>
  </si>
  <si>
    <t>ITF4</t>
  </si>
  <si>
    <t>Puglia</t>
  </si>
  <si>
    <t>Oman</t>
  </si>
  <si>
    <t>OM</t>
  </si>
  <si>
    <t>OMN</t>
  </si>
  <si>
    <t>ITF5</t>
  </si>
  <si>
    <t>Basilicata</t>
  </si>
  <si>
    <t>Pakistan</t>
  </si>
  <si>
    <t>PK</t>
  </si>
  <si>
    <t>PAK</t>
  </si>
  <si>
    <t>ITF6</t>
  </si>
  <si>
    <t>Calabria</t>
  </si>
  <si>
    <t>Palau</t>
  </si>
  <si>
    <t>PW</t>
  </si>
  <si>
    <t>PLW</t>
  </si>
  <si>
    <t>ITG1</t>
  </si>
  <si>
    <t>Isole</t>
  </si>
  <si>
    <t>Sicilia</t>
  </si>
  <si>
    <t>Palestinian Territories</t>
  </si>
  <si>
    <t>PS</t>
  </si>
  <si>
    <t>PSE</t>
  </si>
  <si>
    <t>ITG2</t>
  </si>
  <si>
    <t>Sardegna</t>
  </si>
  <si>
    <t>Panama</t>
  </si>
  <si>
    <t>PA</t>
  </si>
  <si>
    <t>PAN</t>
  </si>
  <si>
    <t>ITH1</t>
  </si>
  <si>
    <t>Nord-Est</t>
  </si>
  <si>
    <t>Provincia Autonoma di Bolzano/Bozen</t>
  </si>
  <si>
    <t>Papua New Guinea</t>
  </si>
  <si>
    <t>PG</t>
  </si>
  <si>
    <t>PNG</t>
  </si>
  <si>
    <t>ITH2</t>
  </si>
  <si>
    <t>Provincia Autonoma di Trento</t>
  </si>
  <si>
    <t>Paraguay</t>
  </si>
  <si>
    <t>PY</t>
  </si>
  <si>
    <t>PRY</t>
  </si>
  <si>
    <t>ITH3</t>
  </si>
  <si>
    <t>Veneto</t>
  </si>
  <si>
    <t>Peru</t>
  </si>
  <si>
    <t>PE</t>
  </si>
  <si>
    <t>PER</t>
  </si>
  <si>
    <t>ITH4</t>
  </si>
  <si>
    <t>Friuli-Venezia Giulia</t>
  </si>
  <si>
    <t>Philippines</t>
  </si>
  <si>
    <t>PH</t>
  </si>
  <si>
    <t>PHL</t>
  </si>
  <si>
    <t>ITH5</t>
  </si>
  <si>
    <t>Emilia-Romagna</t>
  </si>
  <si>
    <t>PL</t>
  </si>
  <si>
    <t>ITI1</t>
  </si>
  <si>
    <t>Centro (IT)</t>
  </si>
  <si>
    <t>Toscana</t>
  </si>
  <si>
    <t>PT</t>
  </si>
  <si>
    <t>ITI2</t>
  </si>
  <si>
    <t>Umbria</t>
  </si>
  <si>
    <t>Qatar</t>
  </si>
  <si>
    <t>QA</t>
  </si>
  <si>
    <t>QAT</t>
  </si>
  <si>
    <t>ITI3</t>
  </si>
  <si>
    <t>Marche</t>
  </si>
  <si>
    <t>Rep. of Korea</t>
  </si>
  <si>
    <t>KR</t>
  </si>
  <si>
    <t>KOR</t>
  </si>
  <si>
    <t>ITI4</t>
  </si>
  <si>
    <t>Lazio</t>
  </si>
  <si>
    <t>Rep. of Moldova</t>
  </si>
  <si>
    <t>MD</t>
  </si>
  <si>
    <t>MDA</t>
  </si>
  <si>
    <t>CY00</t>
  </si>
  <si>
    <t>Kýpros</t>
  </si>
  <si>
    <t>Reunion</t>
  </si>
  <si>
    <t>RE</t>
  </si>
  <si>
    <t>LV00</t>
  </si>
  <si>
    <t>Latvija</t>
  </si>
  <si>
    <t>RO</t>
  </si>
  <si>
    <t>LT01</t>
  </si>
  <si>
    <t>Lietuva</t>
  </si>
  <si>
    <t>Sostinės regionas</t>
  </si>
  <si>
    <t>Russian Federation</t>
  </si>
  <si>
    <t>RU</t>
  </si>
  <si>
    <t>RUS</t>
  </si>
  <si>
    <t>LT02</t>
  </si>
  <si>
    <t xml:space="preserve">Vidurio ir vakarų Lietuvos regionas </t>
  </si>
  <si>
    <t>Rwanda</t>
  </si>
  <si>
    <t>RW</t>
  </si>
  <si>
    <t>RWA</t>
  </si>
  <si>
    <t>LU00</t>
  </si>
  <si>
    <t>Saint Kitts and Nevis</t>
  </si>
  <si>
    <t>KN</t>
  </si>
  <si>
    <t>KNA</t>
  </si>
  <si>
    <t>HU11</t>
  </si>
  <si>
    <t>Magyarország</t>
  </si>
  <si>
    <t>Közép-Magyarország</t>
  </si>
  <si>
    <t>Budapest</t>
  </si>
  <si>
    <t>Saint Lucia</t>
  </si>
  <si>
    <t>LC</t>
  </si>
  <si>
    <t>LCA</t>
  </si>
  <si>
    <t>HU12</t>
  </si>
  <si>
    <t>Pest</t>
  </si>
  <si>
    <t>Saint Vincent and the Grenadines</t>
  </si>
  <si>
    <t>VC</t>
  </si>
  <si>
    <t>VCT</t>
  </si>
  <si>
    <t>HU21</t>
  </si>
  <si>
    <t>Dunántúl</t>
  </si>
  <si>
    <t>Közép-Dunántúl</t>
  </si>
  <si>
    <t>Samoa</t>
  </si>
  <si>
    <t>WS</t>
  </si>
  <si>
    <t>WSM</t>
  </si>
  <si>
    <t>HU22</t>
  </si>
  <si>
    <t>Nyugat-Dunántúl</t>
  </si>
  <si>
    <t>San Marino</t>
  </si>
  <si>
    <t>SM</t>
  </si>
  <si>
    <t>SMR</t>
  </si>
  <si>
    <t>HU23</t>
  </si>
  <si>
    <t>Dél-Dunántúl</t>
  </si>
  <si>
    <t>São Tomé and Principe</t>
  </si>
  <si>
    <t>ST</t>
  </si>
  <si>
    <t>STP</t>
  </si>
  <si>
    <t>HU31</t>
  </si>
  <si>
    <t>Alföld és Észak</t>
  </si>
  <si>
    <t>Észak-Magyarország</t>
  </si>
  <si>
    <t>Saudi Arabia</t>
  </si>
  <si>
    <t>SA</t>
  </si>
  <si>
    <t>SAU</t>
  </si>
  <si>
    <t>HU32</t>
  </si>
  <si>
    <t>Észak-Alföld</t>
  </si>
  <si>
    <t>Senegal</t>
  </si>
  <si>
    <t>SN</t>
  </si>
  <si>
    <t>SEN</t>
  </si>
  <si>
    <t>HU33</t>
  </si>
  <si>
    <t>Dél-Alföld</t>
  </si>
  <si>
    <t>Serbia</t>
  </si>
  <si>
    <t>RS</t>
  </si>
  <si>
    <t>SRB</t>
  </si>
  <si>
    <t>MT00</t>
  </si>
  <si>
    <t>Seychelles</t>
  </si>
  <si>
    <t>SC</t>
  </si>
  <si>
    <t>SYC</t>
  </si>
  <si>
    <t>NL11</t>
  </si>
  <si>
    <t>Nederland</t>
  </si>
  <si>
    <t>Noord-Nederland</t>
  </si>
  <si>
    <t>Groningen</t>
  </si>
  <si>
    <t>Sierra Leone</t>
  </si>
  <si>
    <t>SL</t>
  </si>
  <si>
    <t>SLE</t>
  </si>
  <si>
    <t>NL12</t>
  </si>
  <si>
    <t>Friesland (NL)</t>
  </si>
  <si>
    <t>Singapore</t>
  </si>
  <si>
    <t>SG</t>
  </si>
  <si>
    <t>SGP</t>
  </si>
  <si>
    <t>NL13</t>
  </si>
  <si>
    <t>Drenthe</t>
  </si>
  <si>
    <t>SK</t>
  </si>
  <si>
    <t>NL21</t>
  </si>
  <si>
    <t>Oost-Nederland</t>
  </si>
  <si>
    <t>Overijssel</t>
  </si>
  <si>
    <t>SI</t>
  </si>
  <si>
    <t>NL22</t>
  </si>
  <si>
    <t>Gelderland</t>
  </si>
  <si>
    <t>Solomon Islands</t>
  </si>
  <si>
    <t>SB</t>
  </si>
  <si>
    <t>SLB</t>
  </si>
  <si>
    <t>NL23</t>
  </si>
  <si>
    <t>Flevoland</t>
  </si>
  <si>
    <t>Somalia</t>
  </si>
  <si>
    <t>SO</t>
  </si>
  <si>
    <t>SOM</t>
  </si>
  <si>
    <t>NL31</t>
  </si>
  <si>
    <t>West-Nederland</t>
  </si>
  <si>
    <t>Utrecht</t>
  </si>
  <si>
    <t>South Africa</t>
  </si>
  <si>
    <t>ZA</t>
  </si>
  <si>
    <t>ZAF</t>
  </si>
  <si>
    <t>NL32</t>
  </si>
  <si>
    <t>Noord-Holland</t>
  </si>
  <si>
    <t>ES</t>
  </si>
  <si>
    <t>NL33</t>
  </si>
  <si>
    <t>Zuid-Holland</t>
  </si>
  <si>
    <t>Sri Lanka</t>
  </si>
  <si>
    <t>LK</t>
  </si>
  <si>
    <t>LKA</t>
  </si>
  <si>
    <t>NL34</t>
  </si>
  <si>
    <t>Zeeland</t>
  </si>
  <si>
    <t>Sudan</t>
  </si>
  <si>
    <t>SD</t>
  </si>
  <si>
    <t>SDN</t>
  </si>
  <si>
    <t>NL41</t>
  </si>
  <si>
    <t>Zuid-Nederland</t>
  </si>
  <si>
    <t>Noord-Brabant</t>
  </si>
  <si>
    <t>South Sudan</t>
  </si>
  <si>
    <t>SS</t>
  </si>
  <si>
    <t>SSD</t>
  </si>
  <si>
    <t>NL42</t>
  </si>
  <si>
    <t>Limburg (NL)</t>
  </si>
  <si>
    <t>Suriname</t>
  </si>
  <si>
    <t>SR</t>
  </si>
  <si>
    <t>SUR</t>
  </si>
  <si>
    <t>AT11</t>
  </si>
  <si>
    <t>Österreich</t>
  </si>
  <si>
    <t>Ostösterreich</t>
  </si>
  <si>
    <t>Burgenland</t>
  </si>
  <si>
    <t>Swaziland</t>
  </si>
  <si>
    <t>SZ</t>
  </si>
  <si>
    <t>SWZ</t>
  </si>
  <si>
    <t>AT12</t>
  </si>
  <si>
    <t>Niederösterreich</t>
  </si>
  <si>
    <t>SE</t>
  </si>
  <si>
    <t>AT13</t>
  </si>
  <si>
    <t>Wien</t>
  </si>
  <si>
    <t>Switzerland</t>
  </si>
  <si>
    <t>CH</t>
  </si>
  <si>
    <t>CHE</t>
  </si>
  <si>
    <t>AT21</t>
  </si>
  <si>
    <t>Südösterreich</t>
  </si>
  <si>
    <t>Kärnten</t>
  </si>
  <si>
    <t>Syrian Arab Republic</t>
  </si>
  <si>
    <t>SY</t>
  </si>
  <si>
    <t>SYR</t>
  </si>
  <si>
    <t>AT22</t>
  </si>
  <si>
    <t>Steiermark</t>
  </si>
  <si>
    <t>Tajikistan</t>
  </si>
  <si>
    <t>TJ</t>
  </si>
  <si>
    <t>TJK</t>
  </si>
  <si>
    <t>AT31</t>
  </si>
  <si>
    <t>Westösterreich</t>
  </si>
  <si>
    <t>Oberösterreich</t>
  </si>
  <si>
    <t>Thailand</t>
  </si>
  <si>
    <t>TH</t>
  </si>
  <si>
    <t>THA</t>
  </si>
  <si>
    <t>AT32</t>
  </si>
  <si>
    <t>Salzburg</t>
  </si>
  <si>
    <t>Macedonia</t>
  </si>
  <si>
    <t>MK</t>
  </si>
  <si>
    <t>MKD</t>
  </si>
  <si>
    <t>AT33</t>
  </si>
  <si>
    <t>Tirol</t>
  </si>
  <si>
    <t>Timor-Leste</t>
  </si>
  <si>
    <t>TL</t>
  </si>
  <si>
    <t>TLS</t>
  </si>
  <si>
    <t>AT34</t>
  </si>
  <si>
    <t>Vorarlberg</t>
  </si>
  <si>
    <t>Togo</t>
  </si>
  <si>
    <t>TG</t>
  </si>
  <si>
    <t>TGO</t>
  </si>
  <si>
    <t>PL21</t>
  </si>
  <si>
    <t>Polska</t>
  </si>
  <si>
    <t>Makroregion południowy</t>
  </si>
  <si>
    <t>Małopolskie</t>
  </si>
  <si>
    <t>Tokelau</t>
  </si>
  <si>
    <t>TK</t>
  </si>
  <si>
    <t>TKL</t>
  </si>
  <si>
    <t>PL22</t>
  </si>
  <si>
    <t>Śląskie</t>
  </si>
  <si>
    <t>Tonga</t>
  </si>
  <si>
    <t>TO</t>
  </si>
  <si>
    <t>TON</t>
  </si>
  <si>
    <t>PL41</t>
  </si>
  <si>
    <t>Makroregion północno-zachodni</t>
  </si>
  <si>
    <t>Wielkopolskie</t>
  </si>
  <si>
    <t>Trinidad and Tobago</t>
  </si>
  <si>
    <t>TT</t>
  </si>
  <si>
    <t>TTO</t>
  </si>
  <si>
    <t>PL42</t>
  </si>
  <si>
    <t>Zachodniopomorskie</t>
  </si>
  <si>
    <t>Tunisia</t>
  </si>
  <si>
    <t>TN</t>
  </si>
  <si>
    <t>TUN</t>
  </si>
  <si>
    <t>PL43</t>
  </si>
  <si>
    <t>Lubuskie</t>
  </si>
  <si>
    <t>Turkey</t>
  </si>
  <si>
    <t>TR</t>
  </si>
  <si>
    <t>TUR</t>
  </si>
  <si>
    <t>PL51</t>
  </si>
  <si>
    <t>Makroregion południowo-zachodni</t>
  </si>
  <si>
    <t>Dolnośląskie</t>
  </si>
  <si>
    <t>Turkmenistan</t>
  </si>
  <si>
    <t>TM</t>
  </si>
  <si>
    <t>TKM</t>
  </si>
  <si>
    <t>PL52</t>
  </si>
  <si>
    <t>Opolskie</t>
  </si>
  <si>
    <t>Turks and Caicos Islands</t>
  </si>
  <si>
    <t>TC</t>
  </si>
  <si>
    <t>TCA</t>
  </si>
  <si>
    <t>PL61</t>
  </si>
  <si>
    <t>Makroregion północny</t>
  </si>
  <si>
    <t>Kujawsko-pomorskie</t>
  </si>
  <si>
    <t>Tuvalu</t>
  </si>
  <si>
    <t>TV</t>
  </si>
  <si>
    <t>TUV</t>
  </si>
  <si>
    <t>PL62</t>
  </si>
  <si>
    <t>Warmińsko-mazurskie</t>
  </si>
  <si>
    <t>Uganda</t>
  </si>
  <si>
    <t>UG</t>
  </si>
  <si>
    <t>UGA</t>
  </si>
  <si>
    <t>PL63</t>
  </si>
  <si>
    <t>Pomorskie</t>
  </si>
  <si>
    <t>Ukraine</t>
  </si>
  <si>
    <t>UA</t>
  </si>
  <si>
    <t>UKR</t>
  </si>
  <si>
    <t>PL71</t>
  </si>
  <si>
    <t>Makroregion centralny</t>
  </si>
  <si>
    <t>Łódzkie</t>
  </si>
  <si>
    <t>United Arab Emirates</t>
  </si>
  <si>
    <t>AE</t>
  </si>
  <si>
    <t>ARE</t>
  </si>
  <si>
    <t>PL72</t>
  </si>
  <si>
    <t>Świętokrzyskie</t>
  </si>
  <si>
    <t>United Kingdom</t>
  </si>
  <si>
    <t>GB</t>
  </si>
  <si>
    <t>PL81</t>
  </si>
  <si>
    <t>Makroregion wschodni</t>
  </si>
  <si>
    <t>Lubelskie</t>
  </si>
  <si>
    <t>Tanzania</t>
  </si>
  <si>
    <t>TZ</t>
  </si>
  <si>
    <t>TZA</t>
  </si>
  <si>
    <t>PL82</t>
  </si>
  <si>
    <t>Podkarpackie</t>
  </si>
  <si>
    <t>United States</t>
  </si>
  <si>
    <t>US</t>
  </si>
  <si>
    <t>PL84</t>
  </si>
  <si>
    <t>Podlaskie</t>
  </si>
  <si>
    <t>Uruguay</t>
  </si>
  <si>
    <t>UY</t>
  </si>
  <si>
    <t>URY</t>
  </si>
  <si>
    <t>PL91</t>
  </si>
  <si>
    <t>Makroregion województwo mazowieckie</t>
  </si>
  <si>
    <t>Warszawski stołeczny</t>
  </si>
  <si>
    <t>Uzbekistan</t>
  </si>
  <si>
    <t>UZ</t>
  </si>
  <si>
    <t>UZB</t>
  </si>
  <si>
    <t>PL92</t>
  </si>
  <si>
    <t>Mazowiecki regionalny</t>
  </si>
  <si>
    <t>Vanuatu</t>
  </si>
  <si>
    <t>VU</t>
  </si>
  <si>
    <t>VUT</t>
  </si>
  <si>
    <t>PT11</t>
  </si>
  <si>
    <t>Continente</t>
  </si>
  <si>
    <t>Norte</t>
  </si>
  <si>
    <t>Venezuela</t>
  </si>
  <si>
    <t>VE</t>
  </si>
  <si>
    <t>VEN</t>
  </si>
  <si>
    <t>PT15</t>
  </si>
  <si>
    <t>Algarve</t>
  </si>
  <si>
    <t>Vietnam</t>
  </si>
  <si>
    <t>VN</t>
  </si>
  <si>
    <t>VNM</t>
  </si>
  <si>
    <t>PT16</t>
  </si>
  <si>
    <t>Centro (PT)</t>
  </si>
  <si>
    <t>Yemen</t>
  </si>
  <si>
    <t>YE</t>
  </si>
  <si>
    <t>YEM</t>
  </si>
  <si>
    <t>PT17</t>
  </si>
  <si>
    <t>Área Metropolitana de Lisboa</t>
  </si>
  <si>
    <t>Zambia</t>
  </si>
  <si>
    <t>ZM</t>
  </si>
  <si>
    <t>ZMB</t>
  </si>
  <si>
    <t>PT18</t>
  </si>
  <si>
    <t>Alentejo</t>
  </si>
  <si>
    <t>Zimbabwe</t>
  </si>
  <si>
    <t>ZW</t>
  </si>
  <si>
    <t>ZWE</t>
  </si>
  <si>
    <t>PT20</t>
  </si>
  <si>
    <t>Região Autónoma dos Açores</t>
  </si>
  <si>
    <t>French Guiana</t>
  </si>
  <si>
    <t>GF</t>
  </si>
  <si>
    <t>GUF</t>
  </si>
  <si>
    <t>PT30</t>
  </si>
  <si>
    <t>Região Autónoma da Madeira</t>
  </si>
  <si>
    <t>Western Sahara</t>
  </si>
  <si>
    <t>EH</t>
  </si>
  <si>
    <t>ESH</t>
  </si>
  <si>
    <t>RO11</t>
  </si>
  <si>
    <t>România</t>
  </si>
  <si>
    <t>Macroregiunea Unu</t>
  </si>
  <si>
    <t>Nord-Vest</t>
  </si>
  <si>
    <t>Taiwan</t>
  </si>
  <si>
    <t>TW</t>
  </si>
  <si>
    <t>TWN</t>
  </si>
  <si>
    <t>RO12</t>
  </si>
  <si>
    <t>Centru</t>
  </si>
  <si>
    <t>Greenland</t>
  </si>
  <si>
    <t>GL</t>
  </si>
  <si>
    <t>GRL</t>
  </si>
  <si>
    <t>RO21</t>
  </si>
  <si>
    <t>Macroregiunea Doi</t>
  </si>
  <si>
    <t>Svalbard and Jan Mayen</t>
  </si>
  <si>
    <t>SJ</t>
  </si>
  <si>
    <t>SJM</t>
  </si>
  <si>
    <t>RO22</t>
  </si>
  <si>
    <t>Sud-Est</t>
  </si>
  <si>
    <t>Puerto Rico</t>
  </si>
  <si>
    <t>PR</t>
  </si>
  <si>
    <t>PRI</t>
  </si>
  <si>
    <t>RO31</t>
  </si>
  <si>
    <t>Macroregiunea Trei</t>
  </si>
  <si>
    <t>Sud-Muntenia</t>
  </si>
  <si>
    <t>Isle of Man</t>
  </si>
  <si>
    <t>IM</t>
  </si>
  <si>
    <t>IMN</t>
  </si>
  <si>
    <t>RO32</t>
  </si>
  <si>
    <t>Bucureşti-Ilfov</t>
  </si>
  <si>
    <t>Jersey</t>
  </si>
  <si>
    <t>JE</t>
  </si>
  <si>
    <t>JEY</t>
  </si>
  <si>
    <t>RO41</t>
  </si>
  <si>
    <t>Macroregiunea Patru</t>
  </si>
  <si>
    <t>Sud-Vest Oltenia</t>
  </si>
  <si>
    <t>Guernsey</t>
  </si>
  <si>
    <t>GG</t>
  </si>
  <si>
    <t>GGY</t>
  </si>
  <si>
    <t>RO42</t>
  </si>
  <si>
    <t>Vest</t>
  </si>
  <si>
    <t>US Virgin Islands</t>
  </si>
  <si>
    <t>VI</t>
  </si>
  <si>
    <t>VIR</t>
  </si>
  <si>
    <t>SI03</t>
  </si>
  <si>
    <t>Slovenija</t>
  </si>
  <si>
    <t>Vzhodna Slovenija</t>
  </si>
  <si>
    <t>SI04</t>
  </si>
  <si>
    <t>Zahodna Slovenija</t>
  </si>
  <si>
    <t>SK01</t>
  </si>
  <si>
    <t>Slovensko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</si>
  <si>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</si>
  <si>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</si>
  <si>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</si>
  <si>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</si>
  <si>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</si>
  <si>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</si>
  <si>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</si>
  <si>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FI19</t>
  </si>
  <si>
    <t>Suomi/Finland</t>
  </si>
  <si>
    <t>Manner-Suomi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</si>
  <si>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</si>
  <si>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</si>
  <si>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</si>
  <si>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</si>
  <si>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</si>
  <si>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</si>
  <si>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</si>
  <si>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</si>
  <si>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</si>
  <si>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SE11</t>
  </si>
  <si>
    <t>Sverige</t>
  </si>
  <si>
    <t>Östra Sverige</t>
  </si>
  <si>
    <t>Stockholm</t>
  </si>
  <si>
    <t>SE12</t>
  </si>
  <si>
    <t>Östra Mellansverige</t>
  </si>
  <si>
    <t>SE21</t>
  </si>
  <si>
    <t>Södra Sverige</t>
  </si>
  <si>
    <t>Småland med öarna</t>
  </si>
  <si>
    <t>SE22</t>
  </si>
  <si>
    <t>Sydsverige</t>
  </si>
  <si>
    <t>SE23</t>
  </si>
  <si>
    <t>Västsverige</t>
  </si>
  <si>
    <t>SE31</t>
  </si>
  <si>
    <t>Norra Sverige</t>
  </si>
  <si>
    <t>Norra Mellansverige</t>
  </si>
  <si>
    <t>SE32</t>
  </si>
  <si>
    <t>Mellersta Norrland</t>
  </si>
  <si>
    <t>SE33</t>
  </si>
  <si>
    <t>Övre Norrland</t>
  </si>
  <si>
    <t>UKC1</t>
  </si>
  <si>
    <t>North East (England)</t>
  </si>
  <si>
    <t>Tees Valley and Durham</t>
  </si>
  <si>
    <t>UKC2</t>
  </si>
  <si>
    <t>Northumberland and Tyne and Wear</t>
  </si>
  <si>
    <t>UKD1</t>
  </si>
  <si>
    <t>North West (England)</t>
  </si>
  <si>
    <t>Cumbria</t>
  </si>
  <si>
    <t>UKD3</t>
  </si>
  <si>
    <t>Greater Manchester</t>
  </si>
  <si>
    <t>UKD4</t>
  </si>
  <si>
    <t>Lancashire</t>
  </si>
  <si>
    <t>UKD6</t>
  </si>
  <si>
    <t>Cheshire</t>
  </si>
  <si>
    <t>UKD7</t>
  </si>
  <si>
    <t>Merseyside</t>
  </si>
  <si>
    <t>UKE1</t>
  </si>
  <si>
    <t>Yorkshire and the Humber</t>
  </si>
  <si>
    <t>East Yorkshire and Northern Lincolnshire</t>
  </si>
  <si>
    <t>UKE2</t>
  </si>
  <si>
    <t>North Yorkshire</t>
  </si>
  <si>
    <t>UKE3</t>
  </si>
  <si>
    <t>South Yorkshire</t>
  </si>
  <si>
    <t>UKE4</t>
  </si>
  <si>
    <t>West Yorkshire</t>
  </si>
  <si>
    <t>UKF1</t>
  </si>
  <si>
    <t>East Midlands (England)</t>
  </si>
  <si>
    <t>Derbyshire and Nottinghamshire</t>
  </si>
  <si>
    <t>UKF2</t>
  </si>
  <si>
    <t>Leicestershire, Rutland and Northamptonshire</t>
  </si>
  <si>
    <t>UKF3</t>
  </si>
  <si>
    <t>Lincolnshire</t>
  </si>
  <si>
    <t>UKG1</t>
  </si>
  <si>
    <t>West Midlands (England)</t>
  </si>
  <si>
    <t>Herefordshire, Worcestershire and Warwickshire</t>
  </si>
  <si>
    <t>UKG2</t>
  </si>
  <si>
    <t>Shropshire and Staffordshire</t>
  </si>
  <si>
    <t>UKG3</t>
  </si>
  <si>
    <t>West Midlands</t>
  </si>
  <si>
    <t>UKH1</t>
  </si>
  <si>
    <t>East of England</t>
  </si>
  <si>
    <t>East Anglia</t>
  </si>
  <si>
    <t>UKH2</t>
  </si>
  <si>
    <t>Bedfordshire and Hertfordshire</t>
  </si>
  <si>
    <t>UKH3</t>
  </si>
  <si>
    <t>Essex</t>
  </si>
  <si>
    <t>UKI3</t>
  </si>
  <si>
    <t>London</t>
  </si>
  <si>
    <t>Inner London — West</t>
  </si>
  <si>
    <t>UKI4</t>
  </si>
  <si>
    <t>Inner London — East</t>
  </si>
  <si>
    <t>UKI5</t>
  </si>
  <si>
    <t>Outer London — East and North East</t>
  </si>
  <si>
    <t>UKI6</t>
  </si>
  <si>
    <t>Outer London — South</t>
  </si>
  <si>
    <t>UKI7</t>
  </si>
  <si>
    <t>Outer London — West and North West</t>
  </si>
  <si>
    <t>UKJ1</t>
  </si>
  <si>
    <t>South East (England)</t>
  </si>
  <si>
    <t>Berkshire, Buckinghamshire and Oxfordshire</t>
  </si>
  <si>
    <t>UKJ2</t>
  </si>
  <si>
    <t>Surrey, East and West Sussex</t>
  </si>
  <si>
    <t>UKJ3</t>
  </si>
  <si>
    <t>Hampshire and Isle of Wight</t>
  </si>
  <si>
    <t>UKJ4</t>
  </si>
  <si>
    <t>Kent</t>
  </si>
  <si>
    <t>UKK1</t>
  </si>
  <si>
    <t>South West (England)</t>
  </si>
  <si>
    <t>Gloucestershire, Wiltshire and Bristol/Bath area</t>
  </si>
  <si>
    <t>UKK2</t>
  </si>
  <si>
    <t>Dorset and Somerset</t>
  </si>
  <si>
    <t>UKK3</t>
  </si>
  <si>
    <t>Cornwall and Isles of Scilly</t>
  </si>
  <si>
    <t>UKK4</t>
  </si>
  <si>
    <t>Devon</t>
  </si>
  <si>
    <t>UKL1</t>
  </si>
  <si>
    <t>Wales</t>
  </si>
  <si>
    <t>West Wales and The Valleys</t>
  </si>
  <si>
    <t>UKL2</t>
  </si>
  <si>
    <t>East Wales</t>
  </si>
  <si>
    <t>UKM5</t>
  </si>
  <si>
    <t>Scotland</t>
  </si>
  <si>
    <t>North Eastern Scotland</t>
  </si>
  <si>
    <t>UKM6</t>
  </si>
  <si>
    <t>Highlands and Islands</t>
  </si>
  <si>
    <t>UKM7</t>
  </si>
  <si>
    <t>Eastern Scotland</t>
  </si>
  <si>
    <t>UKM8</t>
  </si>
  <si>
    <t>West Central Scotland</t>
  </si>
  <si>
    <t>UKM9</t>
  </si>
  <si>
    <t>Southern Scotland</t>
  </si>
  <si>
    <t>UKN0</t>
  </si>
  <si>
    <t>Northern Ireland</t>
  </si>
  <si>
    <t>IS00</t>
  </si>
  <si>
    <t>Ísland</t>
  </si>
  <si>
    <t>LI00</t>
  </si>
  <si>
    <t>NO02</t>
  </si>
  <si>
    <t>Norge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</si>
  <si>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</si>
  <si>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</si>
  <si>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</si>
  <si>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</si>
  <si>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</si>
  <si>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</si>
  <si>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</si>
  <si>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</si>
  <si>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</si>
  <si>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</si>
  <si>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</si>
  <si>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</si>
  <si>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</si>
  <si>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CH01</t>
  </si>
  <si>
    <t>Schweiz/Suisse/Svizzera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</si>
  <si>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</si>
  <si>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</si>
  <si>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</si>
  <si>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</si>
  <si>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</si>
  <si>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</si>
  <si>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</si>
  <si>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</si>
  <si>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</si>
  <si>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</si>
  <si>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</si>
  <si>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</si>
  <si>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</si>
  <si>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ME00</t>
  </si>
  <si>
    <t>Crna Gora</t>
  </si>
  <si>
    <t>MK00</t>
  </si>
  <si>
    <t xml:space="preserve">Severna Makedonija </t>
  </si>
  <si>
    <t>AL01</t>
  </si>
  <si>
    <t>Shqipëria</t>
  </si>
  <si>
    <t>Veri</t>
  </si>
  <si>
    <t>AL02</t>
  </si>
  <si>
    <t>Qender</t>
  </si>
  <si>
    <t>AL03</t>
  </si>
  <si>
    <t>Jug</t>
  </si>
  <si>
    <t>RS11</t>
  </si>
  <si>
    <t>Serbia - sever</t>
  </si>
  <si>
    <t>City of Belgrade</t>
  </si>
  <si>
    <t>RS12</t>
  </si>
  <si>
    <t>Autonomous Province of Vojvodina</t>
  </si>
  <si>
    <t>RS21</t>
  </si>
  <si>
    <t xml:space="preserve">Serbia - jug </t>
  </si>
  <si>
    <t>Region Šumadije i Zapadne Srbije</t>
  </si>
  <si>
    <t>RS22</t>
  </si>
  <si>
    <t>Region Južne i Istočne Srbije</t>
  </si>
  <si>
    <t>TR10</t>
  </si>
  <si>
    <t>Türkiye</t>
  </si>
  <si>
    <t>İstanbul</t>
  </si>
  <si>
    <t>TR21</t>
  </si>
  <si>
    <t>Batı Marmara</t>
  </si>
  <si>
    <t>Tekirdağ, Edirne, Kırklareli</t>
  </si>
  <si>
    <t>TR22</t>
  </si>
  <si>
    <t>Balıkesir, Çanakkale</t>
  </si>
  <si>
    <t>TR31</t>
  </si>
  <si>
    <t>Ege</t>
  </si>
  <si>
    <t>İzmir</t>
  </si>
  <si>
    <t>TR32</t>
  </si>
  <si>
    <t>Aydın, Denizli, Muğla</t>
  </si>
  <si>
    <t>TR33</t>
  </si>
  <si>
    <t>Manisa, Afyonkarahisar, Kütahya, Uşak</t>
  </si>
  <si>
    <t>TR41</t>
  </si>
  <si>
    <t>Doğu Marmara</t>
  </si>
  <si>
    <t>Bursa, Eskişehir, Bilecik</t>
  </si>
  <si>
    <t>TR42</t>
  </si>
  <si>
    <t>Kocaeli, Sakarya, Düzce, Bolu, Yalova</t>
  </si>
  <si>
    <t>TR51</t>
  </si>
  <si>
    <t>Batı Anadolu</t>
  </si>
  <si>
    <t>Ankara</t>
  </si>
  <si>
    <t>TR52</t>
  </si>
  <si>
    <t>Konya, Karaman</t>
  </si>
  <si>
    <t>TR61</t>
  </si>
  <si>
    <t>Akdeniz</t>
  </si>
  <si>
    <t>Antalya, Isparta, Burdur</t>
  </si>
  <si>
    <t>TR62</t>
  </si>
  <si>
    <t>Adana, Mersin</t>
  </si>
  <si>
    <t>TR63</t>
  </si>
  <si>
    <t>Hatay, Kahramanmaraş, Osmaniye</t>
  </si>
  <si>
    <t>TR71</t>
  </si>
  <si>
    <t>Orta Anadolu</t>
  </si>
  <si>
    <t>Kırıkkale, Aksaray, Niğde, Nevşehir, Kırşehir</t>
  </si>
  <si>
    <t>TR72</t>
  </si>
  <si>
    <t>Kayseri, Sivas, Yozgat</t>
  </si>
  <si>
    <t>TR81</t>
  </si>
  <si>
    <t>Batı Karadeniz</t>
  </si>
  <si>
    <t>Zonguldak, Karabük, Bartın</t>
  </si>
  <si>
    <t>TR82</t>
  </si>
  <si>
    <t>Kastamonu, Çankırı, Sinop</t>
  </si>
  <si>
    <t>TR83</t>
  </si>
  <si>
    <t>Samsun, Tokat, Çorum, Amasya</t>
  </si>
  <si>
    <t>TR90</t>
  </si>
  <si>
    <t>Doğu Karadeniz</t>
  </si>
  <si>
    <t>Trabzon, Ordu, Giresun, Rize, Artvin, Gümüşhane</t>
  </si>
  <si>
    <t>TRA1</t>
  </si>
  <si>
    <t>Kuzeydoğu Anadolu</t>
  </si>
  <si>
    <t>Erzurum, Erzincan, Bayburt</t>
  </si>
  <si>
    <t>TRA2</t>
  </si>
  <si>
    <t>Ağrı, Kars, Iğdır, Ardahan</t>
  </si>
  <si>
    <t>TRB1</t>
  </si>
  <si>
    <t>Ortadoğu Anadolu</t>
  </si>
  <si>
    <t>Malatya, Elazığ, Bingöl, Tunceli</t>
  </si>
  <si>
    <t>TRB2</t>
  </si>
  <si>
    <t>Van, Muş, Bitlis, Hakkari</t>
  </si>
  <si>
    <t>TRC1</t>
  </si>
  <si>
    <t>Güneydoğu Anadolu</t>
  </si>
  <si>
    <t>Gaziantep, Adıyaman, Kilis</t>
  </si>
  <si>
    <t>TRC2</t>
  </si>
  <si>
    <t>Şanlıurfa, Diyarbakır</t>
  </si>
  <si>
    <t>TRC3</t>
  </si>
  <si>
    <t>Mardin, Batman, Şırnak, Siirt</t>
  </si>
  <si>
    <t>Units</t>
  </si>
  <si>
    <t>LSU</t>
  </si>
  <si>
    <t>livestock units, see https://ec.europa.eu/eurostat/statistics-explained/index.php?title=Glossary:Livestock_unit_(LSU)</t>
  </si>
  <si>
    <t>tCH4</t>
  </si>
  <si>
    <t>tN2O</t>
  </si>
  <si>
    <t>tN</t>
  </si>
  <si>
    <t>tP</t>
  </si>
  <si>
    <t>Mt NH3</t>
  </si>
  <si>
    <t>tons</t>
  </si>
  <si>
    <t>1000 head</t>
  </si>
  <si>
    <t>livestock numbers</t>
  </si>
  <si>
    <t>gram proteins per capita per day</t>
  </si>
  <si>
    <t>OLD</t>
  </si>
  <si>
    <t>Reporting sectors</t>
  </si>
  <si>
    <t>Commnets</t>
  </si>
  <si>
    <t>Link to GTAP sectors</t>
  </si>
  <si>
    <t>Rice (paddy equivalent)</t>
  </si>
  <si>
    <r>
      <t>pdr</t>
    </r>
    <r>
      <rPr>
        <strike/>
        <sz val="11"/>
        <color theme="1"/>
        <rFont val="Calibri"/>
        <family val="2"/>
        <scheme val="minor"/>
      </rPr>
      <t xml:space="preserve"> (+ pcr in raw eq.)</t>
    </r>
  </si>
  <si>
    <t>Only primary production</t>
  </si>
  <si>
    <t>wht</t>
  </si>
  <si>
    <t>Other cereal grains</t>
  </si>
  <si>
    <t>gro</t>
  </si>
  <si>
    <t>Oilseeds and oil crops (raw equivalent)</t>
  </si>
  <si>
    <r>
      <t>osd</t>
    </r>
    <r>
      <rPr>
        <strike/>
        <sz val="11"/>
        <color theme="1"/>
        <rFont val="Calibri"/>
        <family val="2"/>
        <scheme val="minor"/>
      </rPr>
      <t xml:space="preserve"> (+ vol in raw eq.)</t>
    </r>
  </si>
  <si>
    <t>Sugar crops (raw equivalent)</t>
  </si>
  <si>
    <r>
      <t>c_b</t>
    </r>
    <r>
      <rPr>
        <strike/>
        <sz val="11"/>
        <color theme="1"/>
        <rFont val="Calibri"/>
        <family val="2"/>
        <scheme val="minor"/>
      </rPr>
      <t xml:space="preserve"> (+ sgr in raw eq.)</t>
    </r>
  </si>
  <si>
    <t>Vegetables, fruits, nuts (incl. roots and tubers)</t>
  </si>
  <si>
    <t>v_f</t>
  </si>
  <si>
    <t>pfb</t>
  </si>
  <si>
    <t>Refers to seed cotton, unginned for production and area</t>
  </si>
  <si>
    <t>Not explicitely present</t>
  </si>
  <si>
    <t xml:space="preserve">Other crops </t>
  </si>
  <si>
    <t>ocr</t>
  </si>
  <si>
    <t>Ruminant meats</t>
  </si>
  <si>
    <r>
      <t>ctl</t>
    </r>
    <r>
      <rPr>
        <strike/>
        <sz val="11"/>
        <color theme="1"/>
        <rFont val="Calibri"/>
        <family val="2"/>
        <scheme val="minor"/>
      </rPr>
      <t xml:space="preserve"> (+ cmt in raw eq.)</t>
    </r>
  </si>
  <si>
    <t xml:space="preserve">Non ruminant meats </t>
  </si>
  <si>
    <r>
      <t>oap</t>
    </r>
    <r>
      <rPr>
        <strike/>
        <sz val="11"/>
        <color theme="1"/>
        <rFont val="Calibri"/>
        <family val="2"/>
        <scheme val="minor"/>
      </rPr>
      <t xml:space="preserve"> (+ omt in raw eq.)</t>
    </r>
  </si>
  <si>
    <t>Dairy (raw milk equivalent)</t>
  </si>
  <si>
    <r>
      <t>rmk</t>
    </r>
    <r>
      <rPr>
        <strike/>
        <sz val="11"/>
        <color theme="1"/>
        <rFont val="Calibri"/>
        <family val="2"/>
        <scheme val="minor"/>
      </rPr>
      <t xml:space="preserve"> (+ mil in raw eq.)</t>
    </r>
  </si>
  <si>
    <t>Other animal products (wool, honey)</t>
  </si>
  <si>
    <t>wol</t>
  </si>
  <si>
    <t>Other feed products</t>
  </si>
  <si>
    <t>fsh</t>
  </si>
  <si>
    <t>Forestry products</t>
  </si>
  <si>
    <t>frs</t>
  </si>
  <si>
    <t>Sectors subcategories (same variables as parents)</t>
  </si>
  <si>
    <t>definition to be clarified in sheet "overview crop definitions"</t>
  </si>
  <si>
    <t>Available</t>
  </si>
  <si>
    <t>NRM|PK</t>
  </si>
  <si>
    <t>NRM|PO</t>
  </si>
  <si>
    <t>NRM|EG</t>
  </si>
  <si>
    <t>Sectors aggregates</t>
  </si>
  <si>
    <t xml:space="preserve">All crops </t>
  </si>
  <si>
    <t>= RIC + WHT + CGR + OSD + SGC + VFN + PFB + OCR</t>
  </si>
  <si>
    <t>Livestock products</t>
  </si>
  <si>
    <t>= RUM + NRM + DRY + OAP</t>
  </si>
  <si>
    <t>All agricultural products</t>
  </si>
  <si>
    <t>= CRP + LSP + OFD + GRS</t>
  </si>
  <si>
    <t>Total (full economy, population, GDP, calories)</t>
  </si>
  <si>
    <t>LAND variable items</t>
  </si>
  <si>
    <r>
      <t xml:space="preserve">Cropland </t>
    </r>
    <r>
      <rPr>
        <u/>
        <sz val="11"/>
        <rFont val="Calibri"/>
        <family val="2"/>
        <scheme val="minor"/>
      </rPr>
      <t>(including energy crops</t>
    </r>
    <r>
      <rPr>
        <sz val="11"/>
        <rFont val="Calibri"/>
        <family val="2"/>
        <scheme val="minor"/>
      </rPr>
      <t>)</t>
    </r>
  </si>
  <si>
    <t xml:space="preserve">Grassland </t>
  </si>
  <si>
    <t>Other natural land (mostly shrubland)</t>
  </si>
  <si>
    <t>Managed and primary forest</t>
  </si>
  <si>
    <t xml:space="preserve">Non arable land (OLD+BUI = desert etc + built-up areas…) </t>
  </si>
  <si>
    <t>BUI</t>
  </si>
  <si>
    <t>Built up areas</t>
  </si>
  <si>
    <t>Other land except CRP,GRS,ONV,FOR,BUI (desert, glaciers, etc)</t>
  </si>
  <si>
    <t>LAND aggregates/subitems</t>
  </si>
  <si>
    <t>Cropland + grassland</t>
  </si>
  <si>
    <t>Energy crops (included in cropland)</t>
  </si>
  <si>
    <t>Production factors and intermediates</t>
  </si>
  <si>
    <t>Processed food, food services, and nonfood</t>
  </si>
  <si>
    <t>These four add up tot total economy for magnet</t>
  </si>
  <si>
    <t>Biochemicals</t>
  </si>
  <si>
    <t>Total biobased chemicals (C20)</t>
  </si>
  <si>
    <t>Emission categories</t>
  </si>
  <si>
    <t>Crop definitions based on gtap categories, and inspired on Table 2.1. of 'Economic Analysis of Land Use in Global Climate Change Policy', W. Hertel, 2009.</t>
  </si>
  <si>
    <t>% filters for most important crops based on world harvest area FAO</t>
  </si>
  <si>
    <t>Definitions in models (please add the best matching AgMIP category for each crop):</t>
  </si>
  <si>
    <t>Crop FAO</t>
  </si>
  <si>
    <t>AgMIP cat</t>
  </si>
  <si>
    <t>% area in AgMIP cat</t>
  </si>
  <si>
    <t>% Area all cat</t>
  </si>
  <si>
    <t>AIM/CGE</t>
  </si>
  <si>
    <t>GCAM</t>
  </si>
  <si>
    <t>MAgPIE</t>
  </si>
  <si>
    <t>Impact</t>
  </si>
  <si>
    <t>CLUMONDO</t>
  </si>
  <si>
    <t>CGR2</t>
  </si>
  <si>
    <t>CGR3</t>
  </si>
  <si>
    <t>Column1</t>
  </si>
  <si>
    <t>Rice, paddy</t>
  </si>
  <si>
    <t>ARA</t>
  </si>
  <si>
    <t>Barley</t>
  </si>
  <si>
    <t>Sorghum</t>
  </si>
  <si>
    <t>Millet</t>
  </si>
  <si>
    <t>Oats</t>
  </si>
  <si>
    <t>Rye</t>
  </si>
  <si>
    <t>Cereals, nes</t>
  </si>
  <si>
    <t>Triticale</t>
  </si>
  <si>
    <t>Buckwheat</t>
  </si>
  <si>
    <t>Grain, mixed</t>
  </si>
  <si>
    <t>Fonio</t>
  </si>
  <si>
    <t>Canary seed</t>
  </si>
  <si>
    <t>Quinoa</t>
  </si>
  <si>
    <t>Coffee, green</t>
  </si>
  <si>
    <t>PRM</t>
  </si>
  <si>
    <t>Cocoa, beans</t>
  </si>
  <si>
    <t>Tobacco, unmanufactured</t>
  </si>
  <si>
    <t>Tea</t>
  </si>
  <si>
    <t>Chillies and peppers, dry</t>
  </si>
  <si>
    <t>Roots and tubers, nes</t>
  </si>
  <si>
    <t>Spices, nes</t>
  </si>
  <si>
    <t>Lupins</t>
  </si>
  <si>
    <t>Anise, badian, fennel, coriander</t>
  </si>
  <si>
    <t>Pepper (piper spp.)</t>
  </si>
  <si>
    <t>Vetches</t>
  </si>
  <si>
    <t>Cloves</t>
  </si>
  <si>
    <t>Nutmeg, mace and cardamoms</t>
  </si>
  <si>
    <t>Ginger</t>
  </si>
  <si>
    <t>Cinnamon (canella)</t>
  </si>
  <si>
    <t>Vanilla</t>
  </si>
  <si>
    <t>Hops</t>
  </si>
  <si>
    <t>Pyrethrum, dried</t>
  </si>
  <si>
    <t>Peppermint</t>
  </si>
  <si>
    <t>Soybeans</t>
  </si>
  <si>
    <t>Rapeseed</t>
  </si>
  <si>
    <t>Groundnuts, with shell</t>
  </si>
  <si>
    <t>Sunflower seed</t>
  </si>
  <si>
    <t>Oil, palm fruit</t>
  </si>
  <si>
    <t>Coconuts</t>
  </si>
  <si>
    <t>Olives</t>
  </si>
  <si>
    <t>Sesame seed</t>
  </si>
  <si>
    <t>Oilseeds nes</t>
  </si>
  <si>
    <t>Castor oil seed</t>
  </si>
  <si>
    <t>Melonseed</t>
  </si>
  <si>
    <t>Safflower seed</t>
  </si>
  <si>
    <t>Mustard seed</t>
  </si>
  <si>
    <t>Karite nuts (sheanuts)</t>
  </si>
  <si>
    <t>Tallowtree seed</t>
  </si>
  <si>
    <t>Tung nuts</t>
  </si>
  <si>
    <t>Poppy seed</t>
  </si>
  <si>
    <t>Jojoba seed</t>
  </si>
  <si>
    <t>Seed cotton</t>
  </si>
  <si>
    <t>Linseed</t>
  </si>
  <si>
    <t>Jute</t>
  </si>
  <si>
    <t>Sisal</t>
  </si>
  <si>
    <t>Fibre crops nes</t>
  </si>
  <si>
    <t>Flax fibre and tow</t>
  </si>
  <si>
    <t>Kapok fruit</t>
  </si>
  <si>
    <t>Bastfibres, other</t>
  </si>
  <si>
    <t>Manila fibre (abaca)</t>
  </si>
  <si>
    <t>Ramie</t>
  </si>
  <si>
    <t>Agave fibres nes</t>
  </si>
  <si>
    <t>Hemp tow waste</t>
  </si>
  <si>
    <t>Hempseed</t>
  </si>
  <si>
    <t>Sugar cane</t>
  </si>
  <si>
    <t>Sugar beet</t>
  </si>
  <si>
    <t>Sugar crops, nes</t>
  </si>
  <si>
    <t>Beans, dry</t>
  </si>
  <si>
    <t>Cassava</t>
  </si>
  <si>
    <t>Potatoes</t>
  </si>
  <si>
    <t>Vegetables, fresh nes</t>
  </si>
  <si>
    <t>Chick peas</t>
  </si>
  <si>
    <t>Cow peas, dry</t>
  </si>
  <si>
    <t>Sweet potatoes</t>
  </si>
  <si>
    <t>Grapes</t>
  </si>
  <si>
    <t>Peas, dry</t>
  </si>
  <si>
    <t>Bananas</t>
  </si>
  <si>
    <t>Cashew nuts, with shell</t>
  </si>
  <si>
    <t>Mangoes, mangosteens, guavas</t>
  </si>
  <si>
    <t>Yams</t>
  </si>
  <si>
    <t>Pigeon peas</t>
  </si>
  <si>
    <t>Plantains</t>
  </si>
  <si>
    <t>Apples</t>
  </si>
  <si>
    <t>Pulses, nes</t>
  </si>
  <si>
    <t>Tomatoes</t>
  </si>
  <si>
    <t>Fruit, fresh nes</t>
  </si>
  <si>
    <t>Lentils</t>
  </si>
  <si>
    <t>Onions, dry</t>
  </si>
  <si>
    <t>Oranges</t>
  </si>
  <si>
    <t>Watermelons</t>
  </si>
  <si>
    <t>Fruit, tropical fresh nes</t>
  </si>
  <si>
    <t>Broad beans, horse beans, dry</t>
  </si>
  <si>
    <t>Plums and sloes</t>
  </si>
  <si>
    <t>Cabbages and other brassicas</t>
  </si>
  <si>
    <t>Peas, green</t>
  </si>
  <si>
    <t>Tangerines, mandarins, clementines, satsumas</t>
  </si>
  <si>
    <t>Cucumbers and gherkins</t>
  </si>
  <si>
    <t>Chillies and peppers, green</t>
  </si>
  <si>
    <t>Pumpkins, squash and gourds</t>
  </si>
  <si>
    <t>Eggplants (aubergines)</t>
  </si>
  <si>
    <t>Almonds, with shell</t>
  </si>
  <si>
    <t>Pears</t>
  </si>
  <si>
    <t>Beans, green</t>
  </si>
  <si>
    <t>Peaches and nectarines</t>
  </si>
  <si>
    <t>Asparagus</t>
  </si>
  <si>
    <t>Taro (cocoyam)</t>
  </si>
  <si>
    <t>Fruit, citrus nes</t>
  </si>
  <si>
    <t>Garlic</t>
  </si>
  <si>
    <t>Melons, other (inc.cantaloupes)</t>
  </si>
  <si>
    <t>Dates</t>
  </si>
  <si>
    <t>Cauliflowers and broccoli</t>
  </si>
  <si>
    <t>Carrots and turnips</t>
  </si>
  <si>
    <t>Lettuce and chicory</t>
  </si>
  <si>
    <t>Maize, green</t>
  </si>
  <si>
    <t>Lemons and limes</t>
  </si>
  <si>
    <t>Okra</t>
  </si>
  <si>
    <t>Walnuts, with shell</t>
  </si>
  <si>
    <t>Pineapples</t>
  </si>
  <si>
    <t>Areca nuts</t>
  </si>
  <si>
    <t>Spinach</t>
  </si>
  <si>
    <t>Persimmons</t>
  </si>
  <si>
    <t>Cashewapple</t>
  </si>
  <si>
    <t>Hazelnuts, with shell</t>
  </si>
  <si>
    <t>Nuts, nes</t>
  </si>
  <si>
    <t>Kola nuts</t>
  </si>
  <si>
    <t>Chestnut</t>
  </si>
  <si>
    <t>Pistachios</t>
  </si>
  <si>
    <t>Avocados</t>
  </si>
  <si>
    <t>Apricots</t>
  </si>
  <si>
    <t>Cherries</t>
  </si>
  <si>
    <t>Papayas</t>
  </si>
  <si>
    <t>Figs</t>
  </si>
  <si>
    <t>Grapefruit (inc. pomelos)</t>
  </si>
  <si>
    <t>Strawberries</t>
  </si>
  <si>
    <t>Vegetables, leguminous nes</t>
  </si>
  <si>
    <t>Onions, shallots, green</t>
  </si>
  <si>
    <t>String beans</t>
  </si>
  <si>
    <t>Cherries, sour</t>
  </si>
  <si>
    <t>Bambara beans</t>
  </si>
  <si>
    <t>Kiwi fruit</t>
  </si>
  <si>
    <t>Berries nes</t>
  </si>
  <si>
    <t>Leeks, other alliaceous vegetables</t>
  </si>
  <si>
    <t>Artichokes</t>
  </si>
  <si>
    <t>Currants</t>
  </si>
  <si>
    <t>Raspberries</t>
  </si>
  <si>
    <t>Fruit, stone nes</t>
  </si>
  <si>
    <t>Carobs</t>
  </si>
  <si>
    <t>Blueberries</t>
  </si>
  <si>
    <t>Quinces</t>
  </si>
  <si>
    <t>Yautia (cocoyam)</t>
  </si>
  <si>
    <t>Gooseberries</t>
  </si>
  <si>
    <t>Cranberries</t>
  </si>
  <si>
    <t>Chicory roots</t>
  </si>
  <si>
    <t>Mushrooms and truffles</t>
  </si>
  <si>
    <t>Brazil nuts, with shell</t>
  </si>
  <si>
    <t>Fruit, pome nes</t>
  </si>
  <si>
    <t>Cassava leaves</t>
  </si>
  <si>
    <t>CAPRI comment:</t>
  </si>
  <si>
    <t>VFN|NUT will be only identified after the running database update (some time in 2025). Currently all nuts are part of VFN|FRU</t>
  </si>
  <si>
    <t>Only deviations listed!</t>
  </si>
  <si>
    <t>IMPACT</t>
  </si>
  <si>
    <t>FAO</t>
  </si>
  <si>
    <t>Descr</t>
  </si>
  <si>
    <t>% of world population</t>
  </si>
  <si>
    <t>ISO</t>
  </si>
  <si>
    <t>AGMIP</t>
  </si>
  <si>
    <t>ALLCOUNTRY</t>
  </si>
  <si>
    <t>AgMIP region</t>
  </si>
  <si>
    <t>iso3</t>
  </si>
  <si>
    <t>IMAGE_reg_name</t>
  </si>
  <si>
    <t>AGMIP_reg_name</t>
  </si>
  <si>
    <t>GTAP</t>
  </si>
  <si>
    <t>IMPACT_CTY</t>
  </si>
  <si>
    <t>AgMIP_Level_1</t>
  </si>
  <si>
    <t>AgMIP_Level_2</t>
  </si>
  <si>
    <t>AgMIP_Level_3</t>
  </si>
  <si>
    <t>Notes and exceptions (**) to AgMIP</t>
  </si>
  <si>
    <t>Area Code (ISO3)</t>
  </si>
  <si>
    <t>Area</t>
  </si>
  <si>
    <t>Element</t>
  </si>
  <si>
    <t>aus</t>
  </si>
  <si>
    <t>OCE</t>
  </si>
  <si>
    <t>CRB</t>
  </si>
  <si>
    <t>Total Population - Both sexes</t>
  </si>
  <si>
    <t>Population - Est. &amp; Proj.</t>
  </si>
  <si>
    <t>1000 persons</t>
  </si>
  <si>
    <t>ASOCE_LDC</t>
  </si>
  <si>
    <t>SPM</t>
  </si>
  <si>
    <t>CXR</t>
  </si>
  <si>
    <t>AFR_LDC</t>
  </si>
  <si>
    <t>CCK</t>
  </si>
  <si>
    <t>AL000000</t>
  </si>
  <si>
    <t>UMI</t>
  </si>
  <si>
    <t>HMD</t>
  </si>
  <si>
    <t>ASM</t>
  </si>
  <si>
    <t>American Samoa</t>
  </si>
  <si>
    <t>MIDEAST</t>
  </si>
  <si>
    <t>NFK</t>
  </si>
  <si>
    <t>ALA</t>
  </si>
  <si>
    <t>FNP</t>
  </si>
  <si>
    <t>Åland Islands</t>
  </si>
  <si>
    <t>Rest Central America</t>
  </si>
  <si>
    <t>nzl</t>
  </si>
  <si>
    <t>CentAfrRep</t>
  </si>
  <si>
    <t>xoc</t>
  </si>
  <si>
    <t>SPP</t>
  </si>
  <si>
    <t>CongoRep</t>
  </si>
  <si>
    <t>MSA_ACP</t>
  </si>
  <si>
    <t>CongoDemR</t>
  </si>
  <si>
    <t>RAP</t>
  </si>
  <si>
    <t>EqGuinea</t>
  </si>
  <si>
    <t>AT000000</t>
  </si>
  <si>
    <t>GUM</t>
  </si>
  <si>
    <t>OPO</t>
  </si>
  <si>
    <t>ATA</t>
  </si>
  <si>
    <t>n/a</t>
  </si>
  <si>
    <t>Antartica</t>
  </si>
  <si>
    <t>BL000000</t>
  </si>
  <si>
    <t>ATF</t>
  </si>
  <si>
    <t>OIO</t>
  </si>
  <si>
    <t>French Southern Territories</t>
  </si>
  <si>
    <t>BG000000</t>
  </si>
  <si>
    <t>MNP</t>
  </si>
  <si>
    <t>BA000000</t>
  </si>
  <si>
    <t>PCN</t>
  </si>
  <si>
    <t>BES</t>
  </si>
  <si>
    <t>Bonaire, Sint Eustatius and Saba</t>
  </si>
  <si>
    <t>CzechRep</t>
  </si>
  <si>
    <t>RSA</t>
  </si>
  <si>
    <t>MTQ</t>
  </si>
  <si>
    <t>Bolivia (Plurinational State of)</t>
  </si>
  <si>
    <t>ASOCE_REST</t>
  </si>
  <si>
    <t>OBN</t>
  </si>
  <si>
    <t>WLF</t>
  </si>
  <si>
    <t>BLM</t>
  </si>
  <si>
    <t>Saint Barthélemy</t>
  </si>
  <si>
    <t>AFR_REST</t>
  </si>
  <si>
    <t>chn</t>
  </si>
  <si>
    <t>CHR</t>
  </si>
  <si>
    <t>hkg</t>
  </si>
  <si>
    <t>jpn</t>
  </si>
  <si>
    <t>JAP</t>
  </si>
  <si>
    <t>OAO</t>
  </si>
  <si>
    <t>**Part of Atlantic Ocean aggregation, assigned to SSA</t>
  </si>
  <si>
    <t>kor</t>
  </si>
  <si>
    <t>twn</t>
  </si>
  <si>
    <t>xea</t>
  </si>
  <si>
    <t>Cabo Verde</t>
  </si>
  <si>
    <t>mng</t>
  </si>
  <si>
    <t>khm</t>
  </si>
  <si>
    <t>BVT</t>
  </si>
  <si>
    <t>Bouvet Island</t>
  </si>
  <si>
    <t>UK</t>
  </si>
  <si>
    <t>Rest South America</t>
  </si>
  <si>
    <t>idn</t>
  </si>
  <si>
    <t>lao</t>
  </si>
  <si>
    <t>Central African Republic</t>
  </si>
  <si>
    <t>mys</t>
  </si>
  <si>
    <t>phl</t>
  </si>
  <si>
    <t>Cocos (Keeling) Islands</t>
  </si>
  <si>
    <t>CHA</t>
  </si>
  <si>
    <t>Channel Islands</t>
  </si>
  <si>
    <t>sgp</t>
  </si>
  <si>
    <t>CHP</t>
  </si>
  <si>
    <t>tha</t>
  </si>
  <si>
    <t>vnm</t>
  </si>
  <si>
    <t>CHM</t>
  </si>
  <si>
    <t>China, Hong Kong SAR</t>
  </si>
  <si>
    <t>brn</t>
  </si>
  <si>
    <t>China, Macao SAR</t>
  </si>
  <si>
    <t>CY000000</t>
  </si>
  <si>
    <t>xse</t>
  </si>
  <si>
    <t>F41</t>
  </si>
  <si>
    <t>China, mainland</t>
  </si>
  <si>
    <t>CZ000000</t>
  </si>
  <si>
    <t>China, Taiwan Province of</t>
  </si>
  <si>
    <t>DE000000</t>
  </si>
  <si>
    <t>bgd</t>
  </si>
  <si>
    <t>SGS</t>
  </si>
  <si>
    <t>ind</t>
  </si>
  <si>
    <t>pak</t>
  </si>
  <si>
    <t>DK000000</t>
  </si>
  <si>
    <t>MoldovaRep</t>
  </si>
  <si>
    <t>lka</t>
  </si>
  <si>
    <t>xsa</t>
  </si>
  <si>
    <t>ALG</t>
  </si>
  <si>
    <t>Northern Africa</t>
  </si>
  <si>
    <t>npl</t>
  </si>
  <si>
    <t>CUW</t>
  </si>
  <si>
    <t>Curaçao</t>
  </si>
  <si>
    <t>can</t>
  </si>
  <si>
    <t>Christmas Island</t>
  </si>
  <si>
    <t>usa</t>
  </si>
  <si>
    <t>ES000000</t>
  </si>
  <si>
    <t>mex</t>
  </si>
  <si>
    <t>Czechia</t>
  </si>
  <si>
    <t>EE000000</t>
  </si>
  <si>
    <t>Western Africa</t>
  </si>
  <si>
    <t>xna</t>
  </si>
  <si>
    <t>Democratic People's Republic of Korea</t>
  </si>
  <si>
    <t>Democratic Republic of the Congo</t>
  </si>
  <si>
    <t>FI000000</t>
  </si>
  <si>
    <t>arg</t>
  </si>
  <si>
    <t>RSM</t>
  </si>
  <si>
    <t>bol</t>
  </si>
  <si>
    <t>FR000000</t>
  </si>
  <si>
    <t>bra</t>
  </si>
  <si>
    <t>FRO</t>
  </si>
  <si>
    <t>chl</t>
  </si>
  <si>
    <t>col</t>
  </si>
  <si>
    <t>UK000000</t>
  </si>
  <si>
    <t>ecu</t>
  </si>
  <si>
    <t>Palestin</t>
  </si>
  <si>
    <t>pry</t>
  </si>
  <si>
    <t>per</t>
  </si>
  <si>
    <t>MOR</t>
  </si>
  <si>
    <t>SaudiArabia</t>
  </si>
  <si>
    <t>ury</t>
  </si>
  <si>
    <t>Syria</t>
  </si>
  <si>
    <t>ven</t>
  </si>
  <si>
    <t>BLT</t>
  </si>
  <si>
    <t>Eswatini</t>
  </si>
  <si>
    <t>UntdArabEm</t>
  </si>
  <si>
    <t>xsm</t>
  </si>
  <si>
    <t>Falkland Islands (Malvinas)</t>
  </si>
  <si>
    <t>NewZealand</t>
  </si>
  <si>
    <t>Faroe Islands</t>
  </si>
  <si>
    <t>EL000000</t>
  </si>
  <si>
    <t>cri</t>
  </si>
  <si>
    <t>CAM</t>
  </si>
  <si>
    <t>FRP</t>
  </si>
  <si>
    <t>Libya</t>
  </si>
  <si>
    <t>gtm</t>
  </si>
  <si>
    <t>nic</t>
  </si>
  <si>
    <t>French Guyana</t>
  </si>
  <si>
    <t>SHN</t>
  </si>
  <si>
    <t>pan</t>
  </si>
  <si>
    <t>WestSahara</t>
  </si>
  <si>
    <t>xca</t>
  </si>
  <si>
    <t>UKP</t>
  </si>
  <si>
    <t>FijiIslands</t>
  </si>
  <si>
    <t>slv</t>
  </si>
  <si>
    <t>HR000000</t>
  </si>
  <si>
    <t>FrPolynesia</t>
  </si>
  <si>
    <t>hnd</t>
  </si>
  <si>
    <t>NewCaledonia</t>
  </si>
  <si>
    <t>xcb</t>
  </si>
  <si>
    <t>HU000000</t>
  </si>
  <si>
    <t>PapuaNGuin</t>
  </si>
  <si>
    <t>Eastern Africa</t>
  </si>
  <si>
    <t>INDO</t>
  </si>
  <si>
    <t>SolomonIs</t>
  </si>
  <si>
    <t>IR000000</t>
  </si>
  <si>
    <t>CostaRica</t>
  </si>
  <si>
    <t>Guam</t>
  </si>
  <si>
    <t>dom</t>
  </si>
  <si>
    <t>DominicanRp</t>
  </si>
  <si>
    <t>MYT</t>
  </si>
  <si>
    <t>IT000000</t>
  </si>
  <si>
    <t>ElSalvador</t>
  </si>
  <si>
    <t>jam</t>
  </si>
  <si>
    <t>GSA</t>
  </si>
  <si>
    <t>**Part of Indian Ocean aggregation, assigned to SSA</t>
  </si>
  <si>
    <t>pri</t>
  </si>
  <si>
    <t>Heard Island and McDonald Islands</t>
  </si>
  <si>
    <t>Rest Southern Africa</t>
  </si>
  <si>
    <t>TrinidadTob</t>
  </si>
  <si>
    <t>tto</t>
  </si>
  <si>
    <t>Iran (Islamic Republic of)</t>
  </si>
  <si>
    <t>KO000000</t>
  </si>
  <si>
    <t>KO-</t>
  </si>
  <si>
    <t>BosniaHerzg</t>
  </si>
  <si>
    <t>SKOR</t>
  </si>
  <si>
    <t>Serbia-Monte</t>
  </si>
  <si>
    <t>aut</t>
  </si>
  <si>
    <t>EU16</t>
  </si>
  <si>
    <t>bel</t>
  </si>
  <si>
    <t>IOT</t>
  </si>
  <si>
    <t>British Indian Ocean Territory</t>
  </si>
  <si>
    <t>cyp</t>
  </si>
  <si>
    <t>EU12</t>
  </si>
  <si>
    <t>cze</t>
  </si>
  <si>
    <t>dnk</t>
  </si>
  <si>
    <t>Western Europe</t>
  </si>
  <si>
    <t>est</t>
  </si>
  <si>
    <t>fin</t>
  </si>
  <si>
    <t>ITP</t>
  </si>
  <si>
    <t>LT000000</t>
  </si>
  <si>
    <t>fra</t>
  </si>
  <si>
    <t>LV000000</t>
  </si>
  <si>
    <t>FalklandIs</t>
  </si>
  <si>
    <t>FrGuiana</t>
  </si>
  <si>
    <t>Lao People's Democratic Republic</t>
  </si>
  <si>
    <t>deu</t>
  </si>
  <si>
    <t>grc</t>
  </si>
  <si>
    <t>hun</t>
  </si>
  <si>
    <t>irl</t>
  </si>
  <si>
    <t>MK000000</t>
  </si>
  <si>
    <t>ita</t>
  </si>
  <si>
    <t>lva</t>
  </si>
  <si>
    <t>MT000000</t>
  </si>
  <si>
    <t>ltu</t>
  </si>
  <si>
    <t>lux</t>
  </si>
  <si>
    <t>MO000000</t>
  </si>
  <si>
    <t>mlt</t>
  </si>
  <si>
    <t>SriLanka</t>
  </si>
  <si>
    <t>nld</t>
  </si>
  <si>
    <t>BruneiDarsm</t>
  </si>
  <si>
    <t>pol</t>
  </si>
  <si>
    <t>Myanmar</t>
  </si>
  <si>
    <t>prt</t>
  </si>
  <si>
    <t>svk</t>
  </si>
  <si>
    <t>svn</t>
  </si>
  <si>
    <t>esp</t>
  </si>
  <si>
    <t>Martinique</t>
  </si>
  <si>
    <t>TimorLeste</t>
  </si>
  <si>
    <t>swe</t>
  </si>
  <si>
    <t>gbr</t>
  </si>
  <si>
    <t>MAL</t>
  </si>
  <si>
    <t>KoreaDPRp</t>
  </si>
  <si>
    <t>che</t>
  </si>
  <si>
    <t>RWE</t>
  </si>
  <si>
    <t>Laos</t>
  </si>
  <si>
    <t>Central Europe</t>
  </si>
  <si>
    <t>xtw</t>
  </si>
  <si>
    <t>nor</t>
  </si>
  <si>
    <t>MAF</t>
  </si>
  <si>
    <t>Saint Martin (French part)</t>
  </si>
  <si>
    <t>VietNam</t>
  </si>
  <si>
    <t>RussianFed</t>
  </si>
  <si>
    <t>xef</t>
  </si>
  <si>
    <t>SouthAfrica</t>
  </si>
  <si>
    <t>alb</t>
  </si>
  <si>
    <t>RCE</t>
  </si>
  <si>
    <t>bgr</t>
  </si>
  <si>
    <t>blr</t>
  </si>
  <si>
    <t>NL000000</t>
  </si>
  <si>
    <t>hrv</t>
  </si>
  <si>
    <t>NO000000</t>
  </si>
  <si>
    <t>rou</t>
  </si>
  <si>
    <t>rus</t>
  </si>
  <si>
    <t>RUR</t>
  </si>
  <si>
    <t>ukr</t>
  </si>
  <si>
    <t>xee</t>
  </si>
  <si>
    <t>ROM</t>
  </si>
  <si>
    <t>xer</t>
  </si>
  <si>
    <t>Netherlands Antilles (former)</t>
  </si>
  <si>
    <t>Northern Mariana Islands</t>
  </si>
  <si>
    <t>YUG</t>
  </si>
  <si>
    <t>KoreaRep</t>
  </si>
  <si>
    <t>Ukraine +</t>
  </si>
  <si>
    <t>North Macedonia</t>
  </si>
  <si>
    <t>PL000000</t>
  </si>
  <si>
    <t>PuertoRico</t>
  </si>
  <si>
    <t>Asia-Stan</t>
  </si>
  <si>
    <t>PT000000</t>
  </si>
  <si>
    <t>BurkinaFaso</t>
  </si>
  <si>
    <t>PAR</t>
  </si>
  <si>
    <t>CapeVerde</t>
  </si>
  <si>
    <t>Russia +</t>
  </si>
  <si>
    <t>kaz</t>
  </si>
  <si>
    <t>CAS</t>
  </si>
  <si>
    <t>Palestine</t>
  </si>
  <si>
    <t>CotedIvoire</t>
  </si>
  <si>
    <t>kgz</t>
  </si>
  <si>
    <t>Norfolk Island</t>
  </si>
  <si>
    <t>tjk</t>
  </si>
  <si>
    <t>xsu</t>
  </si>
  <si>
    <t>RO000000</t>
  </si>
  <si>
    <t>Middle East</t>
  </si>
  <si>
    <t>arm</t>
  </si>
  <si>
    <t>aze</t>
  </si>
  <si>
    <t>GuineaBissau</t>
  </si>
  <si>
    <t>geo</t>
  </si>
  <si>
    <t>irn</t>
  </si>
  <si>
    <t>kwt</t>
  </si>
  <si>
    <t>**Part of China</t>
  </si>
  <si>
    <t>tur</t>
  </si>
  <si>
    <t>Republic of Korea</t>
  </si>
  <si>
    <t>bhr</t>
  </si>
  <si>
    <t>Republic of Moldova</t>
  </si>
  <si>
    <t>xws</t>
  </si>
  <si>
    <t>Réunion</t>
  </si>
  <si>
    <t>isr</t>
  </si>
  <si>
    <t>Pitcairn</t>
  </si>
  <si>
    <t>SierraLeone</t>
  </si>
  <si>
    <t>jor</t>
  </si>
  <si>
    <t>omn</t>
  </si>
  <si>
    <t>CS000000</t>
  </si>
  <si>
    <t>Rest of South Asia</t>
  </si>
  <si>
    <t>Saint Helena, Ascension and Tristan da Cunha</t>
  </si>
  <si>
    <t>NotAccounted</t>
  </si>
  <si>
    <t>qat</t>
  </si>
  <si>
    <t>sau</t>
  </si>
  <si>
    <t>SK000000</t>
  </si>
  <si>
    <t>Saint Pierre and Miquelon</t>
  </si>
  <si>
    <t>SI000000</t>
  </si>
  <si>
    <t>are</t>
  </si>
  <si>
    <t>SE000000</t>
  </si>
  <si>
    <t>Saint-Martin (French part)</t>
  </si>
  <si>
    <t>egy</t>
  </si>
  <si>
    <t>NAF</t>
  </si>
  <si>
    <t>mar</t>
  </si>
  <si>
    <t>tun</t>
  </si>
  <si>
    <t>Sao Tome and Principe</t>
  </si>
  <si>
    <t>Korea</t>
  </si>
  <si>
    <t>xnf</t>
  </si>
  <si>
    <t>China +</t>
  </si>
  <si>
    <t>THAI</t>
  </si>
  <si>
    <t>nga</t>
  </si>
  <si>
    <t>WAF</t>
  </si>
  <si>
    <t>sen</t>
  </si>
  <si>
    <t>ben</t>
  </si>
  <si>
    <t>bfa</t>
  </si>
  <si>
    <t>SXM</t>
  </si>
  <si>
    <t>Sint Maarten (Dutch part)</t>
  </si>
  <si>
    <t>Southeastern Asia</t>
  </si>
  <si>
    <t>xwf</t>
  </si>
  <si>
    <t>civ</t>
  </si>
  <si>
    <t>South Georgia and the South Sandwich Islands</t>
  </si>
  <si>
    <t>gha</t>
  </si>
  <si>
    <t>gin</t>
  </si>
  <si>
    <t>TAW</t>
  </si>
  <si>
    <t>URU</t>
  </si>
  <si>
    <t>Indonesia +</t>
  </si>
  <si>
    <t>TMP</t>
  </si>
  <si>
    <t>tgo</t>
  </si>
  <si>
    <t>Oceania</t>
  </si>
  <si>
    <t>cmr</t>
  </si>
  <si>
    <t>xcf</t>
  </si>
  <si>
    <t>VIET</t>
  </si>
  <si>
    <t>xac</t>
  </si>
  <si>
    <t>RSF</t>
  </si>
  <si>
    <t>eth</t>
  </si>
  <si>
    <t>EAF</t>
  </si>
  <si>
    <t>mdg</t>
  </si>
  <si>
    <t>mwi</t>
  </si>
  <si>
    <t>CA-</t>
  </si>
  <si>
    <t>mus</t>
  </si>
  <si>
    <t>moz</t>
  </si>
  <si>
    <t>tza</t>
  </si>
  <si>
    <t>uga</t>
  </si>
  <si>
    <t>United Kingdom of Great Britain and Northern Ireland</t>
  </si>
  <si>
    <t>zmb</t>
  </si>
  <si>
    <t>United Republic of Tanzania</t>
  </si>
  <si>
    <t>zwe</t>
  </si>
  <si>
    <t>xec</t>
  </si>
  <si>
    <t>United States Virgin Islands</t>
  </si>
  <si>
    <t>ken</t>
  </si>
  <si>
    <t>Venezuela (Bolivarian Republic of)</t>
  </si>
  <si>
    <t>Viet Nam</t>
  </si>
  <si>
    <t>rwa</t>
  </si>
  <si>
    <t>Wallis and Futuna Islands</t>
  </si>
  <si>
    <t>United States Minor Outlying Islands</t>
  </si>
  <si>
    <t>bwa</t>
  </si>
  <si>
    <t>zaf</t>
  </si>
  <si>
    <t>X01</t>
  </si>
  <si>
    <t>xsc</t>
  </si>
  <si>
    <t>X06</t>
  </si>
  <si>
    <t>Africa</t>
  </si>
  <si>
    <t>nam</t>
  </si>
  <si>
    <t>F5101</t>
  </si>
  <si>
    <t>F5102</t>
  </si>
  <si>
    <t>Middle Africa</t>
  </si>
  <si>
    <t>F5103</t>
  </si>
  <si>
    <t>F5104</t>
  </si>
  <si>
    <t>Southern Africa</t>
  </si>
  <si>
    <t>F5105</t>
  </si>
  <si>
    <t>Wallis and Futuna</t>
  </si>
  <si>
    <t>X21</t>
  </si>
  <si>
    <t>Americas</t>
  </si>
  <si>
    <t>F5203</t>
  </si>
  <si>
    <t>Northern America</t>
  </si>
  <si>
    <t>F5204</t>
  </si>
  <si>
    <t>Central America</t>
  </si>
  <si>
    <t>F5206</t>
  </si>
  <si>
    <t>Caribbean</t>
  </si>
  <si>
    <t>F5207</t>
  </si>
  <si>
    <t>South America</t>
  </si>
  <si>
    <t>F5300</t>
  </si>
  <si>
    <t>Asia</t>
  </si>
  <si>
    <t>F5301</t>
  </si>
  <si>
    <t>Central Asia</t>
  </si>
  <si>
    <t>F5302</t>
  </si>
  <si>
    <t>Eastern Asia</t>
  </si>
  <si>
    <t>F5303</t>
  </si>
  <si>
    <t>F5304</t>
  </si>
  <si>
    <t>South-eastern Asia</t>
  </si>
  <si>
    <t>F5305</t>
  </si>
  <si>
    <t>Western Asia</t>
  </si>
  <si>
    <t>F5400</t>
  </si>
  <si>
    <t>F5401</t>
  </si>
  <si>
    <t>Eastern Europe</t>
  </si>
  <si>
    <t>F5402</t>
  </si>
  <si>
    <t>Northern Europe</t>
  </si>
  <si>
    <t>F5403</t>
  </si>
  <si>
    <t>Southern Europe</t>
  </si>
  <si>
    <t>F5404</t>
  </si>
  <si>
    <t>F5500</t>
  </si>
  <si>
    <t>F5501</t>
  </si>
  <si>
    <t>Australia and New Zealand</t>
  </si>
  <si>
    <t>F5502</t>
  </si>
  <si>
    <t>Melanesia</t>
  </si>
  <si>
    <t>F5503</t>
  </si>
  <si>
    <t>Micronesia</t>
  </si>
  <si>
    <t>F5504</t>
  </si>
  <si>
    <t>Polynesia</t>
  </si>
  <si>
    <t>F5707</t>
  </si>
  <si>
    <t>European Union (27)</t>
  </si>
  <si>
    <t>F5801</t>
  </si>
  <si>
    <t>Least Developed Countries</t>
  </si>
  <si>
    <t>F5802</t>
  </si>
  <si>
    <t>Land Locked Developing Countries</t>
  </si>
  <si>
    <t>F5803</t>
  </si>
  <si>
    <t>Small Island Developing States</t>
  </si>
  <si>
    <t>F5815</t>
  </si>
  <si>
    <t>Low Income Food Deficit Countries</t>
  </si>
  <si>
    <t>F5817</t>
  </si>
  <si>
    <t>Net Food Importing Developing Countries</t>
  </si>
  <si>
    <t>Fresh matter to dry matter conversion used in models</t>
  </si>
  <si>
    <t>IMAGE categories</t>
  </si>
  <si>
    <t>AGMIP item</t>
  </si>
  <si>
    <t>value</t>
  </si>
  <si>
    <t xml:space="preserve">Maize </t>
  </si>
  <si>
    <t>Tropical cereals</t>
  </si>
  <si>
    <t>Other temperate cereals</t>
  </si>
  <si>
    <t>Temperate oil crops</t>
  </si>
  <si>
    <t>Tropical oil crops</t>
  </si>
  <si>
    <t>Temperate roots &amp; tubers</t>
  </si>
  <si>
    <t>PCR</t>
  </si>
  <si>
    <t>Tropical roots &amp; tubers</t>
  </si>
  <si>
    <t>Sugar Crops</t>
  </si>
  <si>
    <t>Vegetables &amp; fruits</t>
  </si>
  <si>
    <t>Other non-food, luxury, spices</t>
  </si>
  <si>
    <t>Beef</t>
  </si>
  <si>
    <t>Pigs</t>
  </si>
  <si>
    <t>NRUM</t>
  </si>
  <si>
    <t>Sheep&amp;goats</t>
  </si>
  <si>
    <t>Poultry</t>
  </si>
  <si>
    <t>AREA_intensive</t>
  </si>
  <si>
    <t>AREA_extensive</t>
  </si>
  <si>
    <t>Agricultural land under intensive management</t>
  </si>
  <si>
    <t>Agricultural land under extensive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</si>
</sst>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C20E3"/>
        <bgColor indexed="64"/>
      </patternFill>
    </fill>
    <fill>
      <patternFill patternType="solid">
        <fgColor rgb="FFDC20E3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9" fillId="0" borderId="0"/>
  </cellStyleXfs>
  <cellXfs count="7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wrapText="1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indent="5"/>
    </xf>
    <xf numFmtId="0" fontId="4" fillId="0" borderId="1" xfId="0" applyFont="1" applyBorder="1"/>
    <xf numFmtId="0" fontId="6" fillId="0" borderId="0" xfId="0" applyFont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9" fontId="0" fillId="0" borderId="0" xfId="1" applyFont="1"/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1" xfId="0" applyFont="1" applyBorder="1"/>
    <xf numFmtId="0" fontId="6" fillId="0" borderId="1" xfId="0" applyFont="1" applyBorder="1"/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12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13" fillId="0" borderId="0" xfId="0" applyFont="1"/>
    <xf numFmtId="0" fontId="14" fillId="0" borderId="0" xfId="0" applyFont="1"/>
    <xf numFmtId="10" fontId="0" fillId="0" borderId="0" xfId="1" applyNumberFormat="1" applyFont="1" applyAlignment="1">
      <alignment horizontal="center"/>
    </xf>
    <xf numFmtId="0" fontId="15" fillId="0" borderId="0" xfId="0" applyFont="1"/>
    <xf numFmtId="0" fontId="0" fillId="5" borderId="0" xfId="0" applyFill="1"/>
    <xf numFmtId="0" fontId="0" fillId="4" borderId="0" xfId="0" applyFill="1" applyAlignment="1">
      <alignment horizontal="left"/>
    </xf>
    <xf numFmtId="17" fontId="0" fillId="0" borderId="0" xfId="0" applyNumberFormat="1"/>
    <xf numFmtId="0" fontId="12" fillId="0" borderId="2" xfId="0" applyFont="1" applyBorder="1"/>
    <xf numFmtId="0" fontId="17" fillId="0" borderId="0" xfId="0" applyFont="1"/>
    <xf numFmtId="0" fontId="16" fillId="3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16" fillId="4" borderId="0" xfId="0" applyFont="1" applyFill="1" applyAlignment="1">
      <alignment horizontal="left" wrapText="1"/>
    </xf>
    <xf numFmtId="0" fontId="16" fillId="5" borderId="0" xfId="0" applyFont="1" applyFill="1"/>
    <xf numFmtId="0" fontId="6" fillId="5" borderId="0" xfId="0" applyFont="1" applyFill="1"/>
    <xf numFmtId="0" fontId="6" fillId="5" borderId="0" xfId="0" applyFont="1" applyFill="1" applyAlignment="1">
      <alignment horizontal="left" wrapText="1"/>
    </xf>
    <xf numFmtId="0" fontId="6" fillId="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8" fillId="0" borderId="0" xfId="0" applyFont="1"/>
    <xf numFmtId="0" fontId="19" fillId="0" borderId="0" xfId="2"/>
    <xf numFmtId="0" fontId="0" fillId="0" borderId="3" xfId="0" applyBorder="1"/>
    <xf numFmtId="0" fontId="0" fillId="0" borderId="3" xfId="0" applyBorder="1" applyAlignment="1">
      <alignment wrapText="1"/>
    </xf>
    <xf numFmtId="0" fontId="21" fillId="6" borderId="0" xfId="0" applyFont="1" applyFill="1"/>
    <xf numFmtId="0" fontId="21" fillId="0" borderId="0" xfId="0" applyFont="1"/>
    <xf numFmtId="0" fontId="12" fillId="6" borderId="0" xfId="0" applyFont="1" applyFill="1"/>
    <xf numFmtId="0" fontId="21" fillId="0" borderId="2" xfId="0" applyFont="1" applyBorder="1"/>
    <xf numFmtId="0" fontId="16" fillId="0" borderId="0" xfId="0" applyFont="1" applyAlignment="1">
      <alignment horizontal="center" wrapText="1"/>
    </xf>
    <xf numFmtId="0" fontId="15" fillId="6" borderId="0" xfId="0" applyFont="1" applyFill="1"/>
    <xf numFmtId="0" fontId="6" fillId="3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3" borderId="0" xfId="0" applyFont="1" applyFill="1" applyAlignment="1">
      <alignment horizontal="center" wrapText="1"/>
    </xf>
    <xf numFmtId="0" fontId="16" fillId="4" borderId="0" xfId="0" applyFont="1" applyFill="1" applyAlignment="1">
      <alignment horizontal="center" wrapText="1"/>
    </xf>
    <xf numFmtId="0" fontId="6" fillId="2" borderId="0" xfId="0" applyFont="1" applyFill="1"/>
    <xf numFmtId="0" fontId="16" fillId="7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1" fillId="7" borderId="0" xfId="0" applyFont="1" applyFill="1"/>
    <xf numFmtId="0" fontId="6" fillId="7" borderId="0" xfId="0" applyFont="1" applyFill="1" applyAlignment="1">
      <alignment vertical="center"/>
    </xf>
    <xf numFmtId="0" fontId="0" fillId="7" borderId="1" xfId="0" applyFill="1" applyBorder="1" applyAlignment="1">
      <alignment horizontal="center"/>
    </xf>
    <xf numFmtId="0" fontId="1" fillId="7" borderId="0" xfId="0" applyFont="1" applyFill="1" applyAlignment="1">
      <alignment horizontal="center" wrapText="1"/>
    </xf>
    <xf numFmtId="0" fontId="16" fillId="8" borderId="0" xfId="0" applyFont="1" applyFill="1" applyAlignment="1">
      <alignment horizontal="center" wrapText="1"/>
    </xf>
    <xf numFmtId="0" fontId="14" fillId="8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</cellXfs>
  <cellStyles count="3">
    <cellStyle name="Normal" xfId="0" builtinId="0"/>
    <cellStyle name="Normal 2" xfId="2" xr:uid="{C7D7FB4E-6279-4B12-AA3F-4BD62F108460}"/>
    <cellStyle name="Percent" xfId="1" builtinId="5"/>
  </cellStyles>
  <dxfs count="7">
    <dxf>
      <font>
        <color rgb="FFFF0000"/>
      </font>
    </dxf>
    <dxf>
      <font>
        <color rgb="FFFF0000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color rgb="FF000000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DC20E3"/>
      <color rgb="FF3286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em-Jan van Zeist" id="{73CC3DAC-684E-40BD-86C8-4A4B7B40388F}" userId="Willem-Jan van Zeist" providerId="None"/>
  <person displayName="Doelman, Jonathan" id="{1119D54F-3F0B-4261-A6E8-3C3920DBE308}" userId="S::doelmanj@pbl.nl::dc6f2aef-4d45-4654-a2a2-c3be03d16608" providerId="AD"/>
  <person displayName="Leeuwen, Myrna van" id="{05E86BD4-9002-4BA6-B820-D7CC45B32FF4}" userId="S::myrna.vanleeuwen@wur.nl::cad963f5-b127-4e8a-878f-2eee11126736" providerId="AD"/>
  <person displayName="Zeist, Willem-Jan van" id="{DB5D6043-9A13-4997-AA1F-A40AE34258A7}" userId="S::willem-jan.vanzeist@wur.nl::910ce4c6-d1b4-49b8-9da0-a9028e98ae77" providerId="AD"/>
  <person displayName="KUMAR Ipsita" id="{5FE783E0-9C78-4300-95C8-38240FE39C05}" userId="S::kumarip_iiasa.ac.at#ext#@wageningenur4.onmicrosoft.com::500e2f11-958c-486f-9f2b-7cc3d18359be" providerId="AD"/>
  <person displayName="Doelman, Jonathan" id="{0730476E-0CE2-4A1C-84E9-B1553621AB33}" userId="S::jonathan.doelman_pbl.nl#ext#@wageningenur4.onmicrosoft.com::f340b34d-d8af-4e5a-81b1-8e754db37e2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6" displayName="Table16" ref="B5:S163" totalsRowShown="0" headerRowDxfId="6">
  <autoFilter ref="B5:S163" xr:uid="{00000000-0009-0000-0100-000001000000}"/>
  <tableColumns count="18">
    <tableColumn id="1" xr3:uid="{00000000-0010-0000-0000-000001000000}" name="Crop FAO"/>
    <tableColumn id="2" xr3:uid="{00000000-0010-0000-0000-000002000000}" name="AgMIP cat"/>
    <tableColumn id="3" xr3:uid="{00000000-0010-0000-0000-000003000000}" name="% area in AgMIP cat"/>
    <tableColumn id="5" xr3:uid="{00000000-0010-0000-0000-000005000000}" name="% Area all cat" dataDxfId="5"/>
    <tableColumn id="13" xr3:uid="{00000000-0010-0000-0000-00000D000000}" name="AIM/CGE"/>
    <tableColumn id="12" xr3:uid="{00000000-0010-0000-0000-00000C000000}" name="GCAM"/>
    <tableColumn id="11" xr3:uid="{00000000-0010-0000-0000-00000B000000}" name="MAgPIE"/>
    <tableColumn id="6" xr3:uid="{3E79F383-0D54-4428-B92E-0A09CD4BB223}" name="MAGNET"/>
    <tableColumn id="4" xr3:uid="{00000000-0010-0000-0000-000004000000}" name="IMAGE"/>
    <tableColumn id="10" xr3:uid="{00000000-0010-0000-0000-00000A000000}" name="GLOBIOM"/>
    <tableColumn id="9" xr3:uid="{00000000-0010-0000-0000-000009000000}" name="Impact"/>
    <tableColumn id="15" xr3:uid="{E34F67ED-905F-483E-9EC9-88D3179554D6}" name="CAPRI"/>
    <tableColumn id="14" xr3:uid="{85984C83-CB85-4019-9E3F-24F5D9DEACC3}" name="CLUMONDO" dataDxfId="4"/>
    <tableColumn id="17" xr3:uid="{4162D2C9-D496-4EE5-B4B8-68A1ABB20C4C}" name="AGMEMOD" dataDxfId="3"/>
    <tableColumn id="7" xr3:uid="{E0DD7CE5-ACC9-4F80-818A-90DB3275CAA9}" name="CGR"/>
    <tableColumn id="8" xr3:uid="{712B5843-DD91-4C4C-B91B-49FECD6B85A6}" name="CGR2"/>
    <tableColumn id="16" xr3:uid="{D54AC330-28CF-4A27-943E-13BF3CE509AB}" name="CGR3"/>
    <tableColumn id="18" xr3:uid="{33AA50BF-5724-456A-A9AC-7AA10ED5548A}" name="Column1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4-07T14:35:19.59" personId="{DB5D6043-9A13-4997-AA1F-A40AE34258A7}" id="{5DEDB6A9-A719-451A-81B1-CCE26DB28DCA}">
    <text>why not "PROD_,,m3" etc to be consistent with the other setup?</text>
  </threadedComment>
  <threadedComment ref="C35" dT="2026-04-07T14:34:29.89" personId="{DB5D6043-9A13-4997-AA1F-A40AE34258A7}" id="{80AB0733-2CC6-49DC-9B62-EA4865763656}">
    <text>Should be 'domestic use' as in the regular CONS variable I think.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3-12-20T13:40:29.44" personId="{0730476E-0CE2-4A1C-84E9-B1553621AB33}" id="{121247CD-824E-4945-BC72-8E59F2CA5143}">
    <text xml:space="preserve">more recent unit? </text>
  </threadedComment>
  <threadedComment ref="A3" dT="2024-06-10T20:18:55.20" personId="{05E86BD4-9002-4BA6-B820-D7CC45B32FF4}" id="{0A506906-B147-4154-8E53-26F2B3A0A45E}" parentId="{121247CD-824E-4945-BC72-8E59F2CA5143}">
    <text>Agmemod is in 2010</text>
  </threadedComment>
  <threadedComment ref="A13" dT="2023-12-20T13:45:58.94" personId="{0730476E-0CE2-4A1C-84E9-B1553621AB33}" id="{9BE94D5E-415F-400B-B81D-8B5B9D311C6A}">
    <text>tbd: just animal nrs or lstu, compare FAO and EUROSTAT approach</text>
  </threadedComment>
  <threadedComment ref="A13" dT="2024-06-10T20:19:28.84" personId="{05E86BD4-9002-4BA6-B820-D7CC45B32FF4}" id="{EEA14183-F729-42C3-A511-8C361D393F21}" parentId="{9BE94D5E-415F-400B-B81D-8B5B9D311C6A}">
    <text>Agmemod in 1000head (cf eurostat)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7" dT="2024-06-07T08:01:41.53" personId="{1119D54F-3F0B-4261-A6E8-3C3920DBE308}" id="{07AA0511-E51C-4165-87A4-F9E94264AB77}">
    <text>@willem-jan, I would say this is the same as the AGR item, or do you see that differently?</text>
  </threadedComment>
  <threadedComment ref="C67" dT="2024-06-07T08:19:14.48" personId="{73CC3DAC-684E-40BD-86C8-4A4B7B40388F}" id="{43514459-07E9-4725-B888-AFFB3327FB14}" parentId="{07AA0511-E51C-4165-87A4-F9E94264AB77}">
    <text>It's slighly different as it includes fish and aquaculture for MAGNET. This is just a MAGNET convention name for all primary food sectors, we can give it a different name if it's helpful.</text>
  </threadedComment>
  <threadedComment ref="A72" dT="2024-10-07T11:29:49.39" personId="{5FE783E0-9C78-4300-95C8-38240FE39C05}" id="{12599AE6-A8DD-4FA2-8624-61D84FAC7410}">
    <text>Added by Myrna for Agmemod</text>
  </threadedComment>
  <threadedComment ref="A73" dT="2024-10-07T11:31:49.87" personId="{5FE783E0-9C78-4300-95C8-38240FE39C05}" id="{E1E17F35-D73A-4E89-8FC0-5CDDD18E82D1}">
    <text xml:space="preserve">Myrna asks -- Is this enough"? They have more detail but is it required?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H38"/>
  <sheetViews>
    <sheetView workbookViewId="0">
      <selection activeCell="I23" sqref="I23"/>
    </sheetView>
  </sheetViews>
  <sheetFormatPr defaultColWidth="11.42578125" defaultRowHeight="15" x14ac:dyDescent="0.25"/>
  <cols>
    <col min="7" max="7" width="16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2" t="s">
        <v>8</v>
      </c>
      <c r="B2" s="12" t="s">
        <v>8</v>
      </c>
      <c r="C2" s="12" t="s">
        <v>9</v>
      </c>
      <c r="D2" s="12" t="s">
        <v>10</v>
      </c>
      <c r="E2" s="12" t="s">
        <v>11</v>
      </c>
      <c r="F2" s="12">
        <v>2000</v>
      </c>
      <c r="G2" t="s">
        <v>12</v>
      </c>
    </row>
    <row r="3" spans="1:8" x14ac:dyDescent="0.25">
      <c r="A3" s="12" t="s">
        <v>8</v>
      </c>
      <c r="B3" s="12" t="s">
        <v>8</v>
      </c>
      <c r="C3" s="12" t="s">
        <v>8</v>
      </c>
      <c r="D3" s="12" t="s">
        <v>8</v>
      </c>
      <c r="E3" s="12" t="s">
        <v>8</v>
      </c>
      <c r="F3" s="12" t="s">
        <v>8</v>
      </c>
      <c r="G3" s="12" t="s">
        <v>8</v>
      </c>
      <c r="H3" s="12"/>
    </row>
    <row r="4" spans="1:8" x14ac:dyDescent="0.25">
      <c r="A4" s="12"/>
    </row>
    <row r="5" spans="1:8" x14ac:dyDescent="0.25">
      <c r="A5" s="12"/>
    </row>
    <row r="6" spans="1:8" x14ac:dyDescent="0.25">
      <c r="A6" s="12"/>
    </row>
    <row r="7" spans="1:8" x14ac:dyDescent="0.25">
      <c r="A7" s="12"/>
      <c r="E7" s="6"/>
    </row>
    <row r="8" spans="1:8" x14ac:dyDescent="0.25">
      <c r="A8" s="12"/>
      <c r="E8" s="6"/>
      <c r="G8" s="6"/>
    </row>
    <row r="9" spans="1:8" x14ac:dyDescent="0.25">
      <c r="A9" s="12"/>
    </row>
    <row r="10" spans="1:8" x14ac:dyDescent="0.25">
      <c r="A10" s="12"/>
      <c r="G10" s="18"/>
    </row>
    <row r="11" spans="1:8" x14ac:dyDescent="0.25">
      <c r="A11" s="12"/>
    </row>
    <row r="14" spans="1:8" x14ac:dyDescent="0.25">
      <c r="G14" s="12"/>
      <c r="H14" s="4"/>
    </row>
    <row r="15" spans="1:8" x14ac:dyDescent="0.25">
      <c r="H15" s="13"/>
    </row>
    <row r="16" spans="1:8" x14ac:dyDescent="0.25">
      <c r="H16" s="13"/>
    </row>
    <row r="17" spans="5:8" x14ac:dyDescent="0.25">
      <c r="E17" s="6"/>
      <c r="H17" s="13"/>
    </row>
    <row r="18" spans="5:8" x14ac:dyDescent="0.25">
      <c r="H18" s="13"/>
    </row>
    <row r="19" spans="5:8" x14ac:dyDescent="0.25">
      <c r="E19" s="6"/>
    </row>
    <row r="20" spans="5:8" x14ac:dyDescent="0.25">
      <c r="E20" s="6"/>
    </row>
    <row r="21" spans="5:8" x14ac:dyDescent="0.25">
      <c r="E21" s="6"/>
    </row>
    <row r="24" spans="5:8" x14ac:dyDescent="0.25">
      <c r="E24" s="6"/>
    </row>
    <row r="26" spans="5:8" x14ac:dyDescent="0.25">
      <c r="E26" s="6"/>
    </row>
    <row r="27" spans="5:8" x14ac:dyDescent="0.25">
      <c r="E27" s="6"/>
    </row>
    <row r="28" spans="5:8" x14ac:dyDescent="0.25">
      <c r="E28" s="6"/>
    </row>
    <row r="29" spans="5:8" x14ac:dyDescent="0.25">
      <c r="E29" s="6"/>
    </row>
    <row r="30" spans="5:8" x14ac:dyDescent="0.25">
      <c r="E30" s="6"/>
    </row>
    <row r="31" spans="5:8" x14ac:dyDescent="0.25">
      <c r="E31" s="6"/>
    </row>
    <row r="32" spans="5:8" x14ac:dyDescent="0.25">
      <c r="E32" s="6"/>
    </row>
    <row r="33" spans="5:5" x14ac:dyDescent="0.25">
      <c r="E33" s="6"/>
    </row>
    <row r="34" spans="5:5" x14ac:dyDescent="0.25">
      <c r="E34" s="6"/>
    </row>
    <row r="35" spans="5:5" x14ac:dyDescent="0.25">
      <c r="E35" s="6"/>
    </row>
    <row r="36" spans="5:5" x14ac:dyDescent="0.25">
      <c r="E36" s="6"/>
    </row>
    <row r="37" spans="5:5" x14ac:dyDescent="0.25">
      <c r="E37" s="6"/>
    </row>
    <row r="38" spans="5:5" x14ac:dyDescent="0.25">
      <c r="E38" s="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1:CL131"/>
  <sheetViews>
    <sheetView tabSelected="1" zoomScale="85" zoomScaleNormal="85" workbookViewId="0">
      <pane xSplit="4" ySplit="6" topLeftCell="T83" activePane="bottomRight" state="frozen"/>
      <selection pane="topRight" activeCell="D1" sqref="D1"/>
      <selection pane="bottomLeft" activeCell="A4" sqref="A4"/>
      <selection pane="bottomRight" activeCell="AA87" sqref="AA87"/>
    </sheetView>
  </sheetViews>
  <sheetFormatPr defaultColWidth="9.28515625" defaultRowHeight="15" customHeight="1" x14ac:dyDescent="0.25"/>
  <cols>
    <col min="2" max="2" width="15.28515625" customWidth="1"/>
    <col min="3" max="3" width="38.42578125" customWidth="1"/>
    <col min="4" max="4" width="18.7109375" bestFit="1" customWidth="1"/>
    <col min="5" max="8" width="6.7109375" style="5" customWidth="1"/>
    <col min="9" max="9" width="9.140625" style="5" customWidth="1"/>
    <col min="10" max="10" width="9.42578125" style="5" customWidth="1"/>
    <col min="11" max="11" width="6.7109375" style="5" customWidth="1"/>
    <col min="12" max="12" width="8.85546875" style="5" customWidth="1"/>
    <col min="13" max="13" width="9.7109375" style="5" customWidth="1"/>
    <col min="14" max="15" width="6.7109375" style="5" customWidth="1"/>
    <col min="16" max="16" width="9.28515625" style="5" customWidth="1"/>
    <col min="17" max="17" width="9.140625" style="5" customWidth="1"/>
    <col min="18" max="18" width="9.42578125" style="5" customWidth="1"/>
    <col min="19" max="19" width="10.7109375" style="5" customWidth="1"/>
    <col min="20" max="20" width="10" style="5" customWidth="1"/>
    <col min="21" max="21" width="6.7109375" style="5" customWidth="1"/>
    <col min="22" max="23" width="8.85546875" style="5" customWidth="1"/>
    <col min="24" max="26" width="6.7109375" style="5" customWidth="1"/>
    <col min="27" max="27" width="9.140625" style="5" customWidth="1"/>
    <col min="28" max="28" width="9.42578125" style="5" customWidth="1"/>
    <col min="29" max="29" width="6.7109375" style="5" customWidth="1"/>
    <col min="30" max="30" width="9.28515625" style="5" customWidth="1"/>
    <col min="31" max="31" width="14.85546875" style="5" customWidth="1"/>
    <col min="32" max="32" width="6.7109375" style="5" customWidth="1"/>
    <col min="33" max="33" width="9.7109375" style="5" customWidth="1"/>
    <col min="34" max="34" width="10.140625" style="5" customWidth="1"/>
    <col min="35" max="35" width="9.85546875" style="5" customWidth="1"/>
    <col min="36" max="36" width="10.28515625" style="5" customWidth="1"/>
    <col min="37" max="44" width="6.7109375" style="5" customWidth="1"/>
    <col min="45" max="68" width="14.85546875" style="5" customWidth="1"/>
    <col min="69" max="69" width="10.42578125" style="5" customWidth="1"/>
    <col min="70" max="71" width="6.7109375" style="5" customWidth="1"/>
    <col min="72" max="72" width="9.42578125" style="5" customWidth="1"/>
    <col min="73" max="73" width="15.42578125" style="5" customWidth="1"/>
    <col min="74" max="74" width="11.85546875" style="5" customWidth="1"/>
    <col min="75" max="80" width="9.28515625" style="5"/>
    <col min="86" max="86" width="7.7109375" customWidth="1"/>
    <col min="87" max="87" width="11.7109375" customWidth="1"/>
  </cols>
  <sheetData>
    <row r="1" spans="2:90" x14ac:dyDescent="0.25"/>
    <row r="2" spans="2:90" x14ac:dyDescent="0.25">
      <c r="C2" s="68" t="s">
        <v>13</v>
      </c>
    </row>
    <row r="3" spans="2:90" x14ac:dyDescent="0.25"/>
    <row r="4" spans="2:90" x14ac:dyDescent="0.25"/>
    <row r="5" spans="2:90" s="61" customFormat="1" ht="43.5" customHeight="1" x14ac:dyDescent="0.25">
      <c r="B5" s="61" t="s">
        <v>4</v>
      </c>
      <c r="C5" s="61" t="s">
        <v>14</v>
      </c>
      <c r="D5" s="74" t="s">
        <v>6</v>
      </c>
      <c r="E5" s="57" t="s">
        <v>15</v>
      </c>
      <c r="F5" s="57" t="s">
        <v>16</v>
      </c>
      <c r="G5" s="57" t="s">
        <v>17</v>
      </c>
      <c r="H5" s="57" t="s">
        <v>18</v>
      </c>
      <c r="I5" s="61" t="s">
        <v>19</v>
      </c>
      <c r="J5" s="61" t="s">
        <v>20</v>
      </c>
      <c r="K5" s="57" t="s">
        <v>21</v>
      </c>
      <c r="L5" s="61" t="s">
        <v>22</v>
      </c>
      <c r="M5" s="61" t="s">
        <v>23</v>
      </c>
      <c r="N5" s="57" t="s">
        <v>24</v>
      </c>
      <c r="O5" s="57" t="s">
        <v>25</v>
      </c>
      <c r="P5" s="61" t="s">
        <v>26</v>
      </c>
      <c r="Q5" s="61" t="s">
        <v>27</v>
      </c>
      <c r="R5" s="61" t="s">
        <v>28</v>
      </c>
      <c r="S5" s="61" t="s">
        <v>29</v>
      </c>
      <c r="T5" s="61" t="s">
        <v>30</v>
      </c>
      <c r="U5" s="57" t="s">
        <v>31</v>
      </c>
      <c r="V5" s="61" t="s">
        <v>32</v>
      </c>
      <c r="W5" s="61" t="s">
        <v>33</v>
      </c>
      <c r="X5" s="57" t="s">
        <v>34</v>
      </c>
      <c r="Y5" s="57" t="s">
        <v>35</v>
      </c>
      <c r="Z5" s="57" t="s">
        <v>36</v>
      </c>
      <c r="AA5" s="61" t="s">
        <v>37</v>
      </c>
      <c r="AB5" s="61" t="s">
        <v>38</v>
      </c>
      <c r="AC5" s="57" t="s">
        <v>39</v>
      </c>
      <c r="AD5" s="61" t="s">
        <v>40</v>
      </c>
      <c r="AE5" s="61" t="s">
        <v>41</v>
      </c>
      <c r="AF5" s="57" t="s">
        <v>42</v>
      </c>
      <c r="AG5" s="61" t="s">
        <v>43</v>
      </c>
      <c r="AH5" s="61" t="s">
        <v>44</v>
      </c>
      <c r="AI5" s="61" t="s">
        <v>45</v>
      </c>
      <c r="AJ5" s="61" t="s">
        <v>46</v>
      </c>
      <c r="AK5" s="57" t="s">
        <v>47</v>
      </c>
      <c r="AL5" s="57" t="s">
        <v>48</v>
      </c>
      <c r="AM5" s="57" t="s">
        <v>49</v>
      </c>
      <c r="AN5" s="57" t="s">
        <v>50</v>
      </c>
      <c r="AO5" s="57" t="s">
        <v>51</v>
      </c>
      <c r="AP5" s="57" t="s">
        <v>52</v>
      </c>
      <c r="AQ5" s="57" t="s">
        <v>53</v>
      </c>
      <c r="AR5" s="57" t="s">
        <v>54</v>
      </c>
      <c r="AS5" s="65" t="s">
        <v>55</v>
      </c>
      <c r="AT5" s="65" t="s">
        <v>56</v>
      </c>
      <c r="AU5" s="65" t="s">
        <v>57</v>
      </c>
      <c r="AV5" s="65" t="s">
        <v>58</v>
      </c>
      <c r="AW5" s="65" t="s">
        <v>59</v>
      </c>
      <c r="AX5" s="65" t="s">
        <v>60</v>
      </c>
      <c r="AY5" s="65" t="s">
        <v>61</v>
      </c>
      <c r="AZ5" s="65" t="s">
        <v>62</v>
      </c>
      <c r="BA5" s="65" t="s">
        <v>63</v>
      </c>
      <c r="BB5" s="65" t="s">
        <v>64</v>
      </c>
      <c r="BC5" s="65" t="s">
        <v>65</v>
      </c>
      <c r="BD5" s="65" t="s">
        <v>66</v>
      </c>
      <c r="BE5" s="65" t="s">
        <v>67</v>
      </c>
      <c r="BF5" s="65" t="s">
        <v>68</v>
      </c>
      <c r="BG5" s="65" t="s">
        <v>69</v>
      </c>
      <c r="BH5" s="65" t="s">
        <v>70</v>
      </c>
      <c r="BI5" s="65" t="s">
        <v>71</v>
      </c>
      <c r="BJ5" s="65" t="s">
        <v>72</v>
      </c>
      <c r="BK5" s="65" t="s">
        <v>73</v>
      </c>
      <c r="BL5" s="65" t="s">
        <v>74</v>
      </c>
      <c r="BM5" s="65" t="s">
        <v>75</v>
      </c>
      <c r="BN5" s="72" t="s">
        <v>76</v>
      </c>
      <c r="BO5" s="72" t="s">
        <v>77</v>
      </c>
      <c r="BP5" s="65" t="s">
        <v>78</v>
      </c>
      <c r="BQ5" s="57" t="s">
        <v>79</v>
      </c>
      <c r="BR5" s="57" t="s">
        <v>80</v>
      </c>
      <c r="BS5" s="57" t="s">
        <v>81</v>
      </c>
      <c r="BT5" s="65" t="s">
        <v>82</v>
      </c>
      <c r="BU5" s="71" t="s">
        <v>83</v>
      </c>
      <c r="BV5" s="65" t="s">
        <v>84</v>
      </c>
      <c r="BW5" s="62" t="s">
        <v>85</v>
      </c>
      <c r="BX5" s="62" t="s">
        <v>86</v>
      </c>
      <c r="BY5" s="62" t="s">
        <v>87</v>
      </c>
      <c r="BZ5" s="62" t="s">
        <v>88</v>
      </c>
      <c r="CA5" s="63" t="s">
        <v>89</v>
      </c>
      <c r="CB5" s="62" t="s">
        <v>90</v>
      </c>
      <c r="CC5" s="40" t="s">
        <v>91</v>
      </c>
      <c r="CD5" s="40" t="s">
        <v>92</v>
      </c>
      <c r="CE5" s="43" t="s">
        <v>93</v>
      </c>
      <c r="CF5" s="40" t="s">
        <v>94</v>
      </c>
      <c r="CG5" s="60" t="s">
        <v>95</v>
      </c>
      <c r="CH5" s="60" t="s">
        <v>96</v>
      </c>
      <c r="CI5" s="40" t="s">
        <v>97</v>
      </c>
      <c r="CJ5" s="40" t="s">
        <v>98</v>
      </c>
      <c r="CK5" s="40" t="s">
        <v>99</v>
      </c>
    </row>
    <row r="6" spans="2:90" x14ac:dyDescent="0.25">
      <c r="B6" s="7"/>
      <c r="C6" s="7"/>
      <c r="D6" s="7"/>
      <c r="E6" s="16" t="s">
        <v>10</v>
      </c>
      <c r="F6" s="16" t="s">
        <v>105</v>
      </c>
      <c r="G6" s="16" t="s">
        <v>106</v>
      </c>
      <c r="H6" s="16" t="s">
        <v>107</v>
      </c>
      <c r="I6" s="15" t="s">
        <v>108</v>
      </c>
      <c r="J6" s="15" t="s">
        <v>109</v>
      </c>
      <c r="K6" s="25" t="s">
        <v>110</v>
      </c>
      <c r="L6" s="15" t="s">
        <v>111</v>
      </c>
      <c r="M6" s="15" t="s">
        <v>112</v>
      </c>
      <c r="N6" s="5" t="s">
        <v>113</v>
      </c>
      <c r="O6" s="25" t="s">
        <v>114</v>
      </c>
      <c r="P6" t="s">
        <v>115</v>
      </c>
      <c r="Q6" t="s">
        <v>116</v>
      </c>
      <c r="R6" t="s">
        <v>117</v>
      </c>
      <c r="S6" s="15" t="s">
        <v>118</v>
      </c>
      <c r="T6" s="15" t="s">
        <v>119</v>
      </c>
      <c r="U6" s="25" t="s">
        <v>120</v>
      </c>
      <c r="V6" s="15" t="s">
        <v>121</v>
      </c>
      <c r="W6" s="15" t="s">
        <v>122</v>
      </c>
      <c r="X6" s="26" t="s">
        <v>123</v>
      </c>
      <c r="Y6" s="25" t="s">
        <v>124</v>
      </c>
      <c r="Z6" s="16" t="s">
        <v>125</v>
      </c>
      <c r="AA6" t="s">
        <v>126</v>
      </c>
      <c r="AB6" t="s">
        <v>127</v>
      </c>
      <c r="AC6" s="16" t="s">
        <v>128</v>
      </c>
      <c r="AD6" s="15" t="s">
        <v>129</v>
      </c>
      <c r="AE6" s="15" t="s">
        <v>130</v>
      </c>
      <c r="AF6" s="16" t="s">
        <v>131</v>
      </c>
      <c r="AG6" t="s">
        <v>132</v>
      </c>
      <c r="AH6" t="s">
        <v>133</v>
      </c>
      <c r="AI6" t="s">
        <v>134</v>
      </c>
      <c r="AJ6" t="s">
        <v>135</v>
      </c>
      <c r="AK6" s="16" t="s">
        <v>136</v>
      </c>
      <c r="AL6" s="16" t="s">
        <v>137</v>
      </c>
      <c r="AM6" s="16" t="s">
        <v>138</v>
      </c>
      <c r="AN6" s="16" t="s">
        <v>139</v>
      </c>
      <c r="AO6" s="16" t="s">
        <v>140</v>
      </c>
      <c r="AP6" s="16" t="s">
        <v>141</v>
      </c>
      <c r="AQ6" s="16" t="s">
        <v>142</v>
      </c>
      <c r="AR6" s="16" t="s">
        <v>143</v>
      </c>
      <c r="AS6" s="70" t="s">
        <v>144</v>
      </c>
      <c r="AT6" s="70" t="s">
        <v>145</v>
      </c>
      <c r="AU6" s="70" t="s">
        <v>146</v>
      </c>
      <c r="AV6" s="70" t="s">
        <v>147</v>
      </c>
      <c r="AW6" s="70" t="s">
        <v>148</v>
      </c>
      <c r="AX6" s="70" t="s">
        <v>149</v>
      </c>
      <c r="AY6" s="70" t="s">
        <v>150</v>
      </c>
      <c r="AZ6" s="70" t="s">
        <v>151</v>
      </c>
      <c r="BA6" s="70" t="s">
        <v>152</v>
      </c>
      <c r="BB6" s="70" t="s">
        <v>153</v>
      </c>
      <c r="BC6" s="70" t="s">
        <v>154</v>
      </c>
      <c r="BD6" s="70" t="s">
        <v>155</v>
      </c>
      <c r="BE6" s="70" t="s">
        <v>156</v>
      </c>
      <c r="BF6" s="70" t="s">
        <v>157</v>
      </c>
      <c r="BG6" s="70" t="s">
        <v>158</v>
      </c>
      <c r="BH6" s="70" t="s">
        <v>159</v>
      </c>
      <c r="BI6" s="70" t="s">
        <v>160</v>
      </c>
      <c r="BJ6" s="70" t="s">
        <v>161</v>
      </c>
      <c r="BK6" s="70" t="s">
        <v>162</v>
      </c>
      <c r="BL6" s="70" t="s">
        <v>163</v>
      </c>
      <c r="BM6" s="70" t="s">
        <v>164</v>
      </c>
      <c r="BN6" s="73" t="s">
        <v>165</v>
      </c>
      <c r="BO6" s="73" t="s">
        <v>166</v>
      </c>
      <c r="BP6" s="70" t="s">
        <v>167</v>
      </c>
      <c r="BQ6" s="16" t="s">
        <v>168</v>
      </c>
      <c r="BR6" s="5" t="s">
        <v>169</v>
      </c>
      <c r="BS6" s="5" t="s">
        <v>170</v>
      </c>
      <c r="BT6" s="67" t="s">
        <v>171</v>
      </c>
      <c r="BU6" s="67" t="s">
        <v>172</v>
      </c>
      <c r="BV6" s="67" t="s">
        <v>173</v>
      </c>
      <c r="BW6" s="30" t="s">
        <v>174</v>
      </c>
      <c r="BX6" s="30" t="s">
        <v>175</v>
      </c>
      <c r="BY6" s="30" t="s">
        <v>176</v>
      </c>
      <c r="BZ6" s="30" t="s">
        <v>177</v>
      </c>
      <c r="CA6" s="42" t="s">
        <v>178</v>
      </c>
      <c r="CB6" s="30" t="s">
        <v>179</v>
      </c>
      <c r="CC6" s="41" t="s">
        <v>180</v>
      </c>
      <c r="CD6" s="41" t="s">
        <v>181</v>
      </c>
      <c r="CE6" s="36" t="s">
        <v>182</v>
      </c>
      <c r="CF6" s="41" t="s">
        <v>183</v>
      </c>
      <c r="CG6" s="41" t="s">
        <v>184</v>
      </c>
      <c r="CH6" s="41" t="s">
        <v>185</v>
      </c>
      <c r="CI6" s="41" t="s">
        <v>186</v>
      </c>
      <c r="CJ6" s="41" t="s">
        <v>187</v>
      </c>
      <c r="CK6" s="41" t="s">
        <v>188</v>
      </c>
      <c r="CL6" s="48" t="s">
        <v>189</v>
      </c>
    </row>
    <row r="7" spans="2:90" x14ac:dyDescent="0.25">
      <c r="B7" s="6" t="s">
        <v>190</v>
      </c>
      <c r="C7" t="s">
        <v>191</v>
      </c>
      <c r="D7" t="s">
        <v>12</v>
      </c>
      <c r="E7" s="5" t="s">
        <v>192</v>
      </c>
      <c r="Q7"/>
      <c r="V7" s="26"/>
      <c r="W7" s="26"/>
    </row>
    <row r="8" spans="2:90" x14ac:dyDescent="0.25">
      <c r="B8" s="6" t="s">
        <v>193</v>
      </c>
      <c r="C8" t="s">
        <v>194</v>
      </c>
      <c r="D8" t="s">
        <v>195</v>
      </c>
      <c r="E8" s="5" t="s">
        <v>192</v>
      </c>
      <c r="Q8"/>
    </row>
    <row r="9" spans="2:90" x14ac:dyDescent="0.25">
      <c r="B9" t="s">
        <v>196</v>
      </c>
      <c r="C9" t="s">
        <v>197</v>
      </c>
      <c r="D9" t="s">
        <v>198</v>
      </c>
      <c r="F9" s="5" t="s">
        <v>192</v>
      </c>
      <c r="G9" s="5" t="s">
        <v>192</v>
      </c>
      <c r="H9" s="5" t="s">
        <v>192</v>
      </c>
      <c r="K9" s="5" t="s">
        <v>192</v>
      </c>
      <c r="N9" s="5" t="s">
        <v>192</v>
      </c>
      <c r="O9" s="5" t="s">
        <v>192</v>
      </c>
      <c r="Q9"/>
      <c r="U9" s="5" t="s">
        <v>192</v>
      </c>
      <c r="X9" s="5" t="s">
        <v>192</v>
      </c>
      <c r="Y9" s="5" t="s">
        <v>192</v>
      </c>
      <c r="Z9" s="5" t="s">
        <v>192</v>
      </c>
      <c r="AC9" s="5" t="s">
        <v>192</v>
      </c>
      <c r="AF9" s="5" t="s">
        <v>192</v>
      </c>
      <c r="AK9" s="5" t="s">
        <v>192</v>
      </c>
      <c r="AL9" s="5" t="s">
        <v>192</v>
      </c>
      <c r="AM9" s="5" t="s">
        <v>192</v>
      </c>
      <c r="AN9" s="5" t="s">
        <v>192</v>
      </c>
      <c r="AO9" s="5" t="s">
        <v>192</v>
      </c>
      <c r="AR9" s="5" t="s">
        <v>192</v>
      </c>
    </row>
    <row r="10" spans="2:90" x14ac:dyDescent="0.25">
      <c r="B10" t="s">
        <v>199</v>
      </c>
      <c r="C10" t="s">
        <v>200</v>
      </c>
      <c r="D10" t="s">
        <v>198</v>
      </c>
      <c r="F10" s="5" t="s">
        <v>192</v>
      </c>
      <c r="G10" s="5" t="s">
        <v>192</v>
      </c>
      <c r="H10" s="5" t="s">
        <v>192</v>
      </c>
      <c r="K10" s="5" t="s">
        <v>192</v>
      </c>
      <c r="N10" s="5" t="s">
        <v>192</v>
      </c>
      <c r="O10" s="5" t="s">
        <v>192</v>
      </c>
      <c r="Q10" s="18"/>
      <c r="U10" s="5" t="s">
        <v>192</v>
      </c>
      <c r="X10" s="5" t="s">
        <v>192</v>
      </c>
      <c r="Y10" s="5" t="s">
        <v>192</v>
      </c>
      <c r="Z10" s="5" t="s">
        <v>192</v>
      </c>
      <c r="AC10" s="5" t="s">
        <v>192</v>
      </c>
      <c r="AF10" s="5" t="s">
        <v>192</v>
      </c>
      <c r="AK10" s="5" t="s">
        <v>192</v>
      </c>
      <c r="AL10" s="5" t="s">
        <v>192</v>
      </c>
      <c r="AM10" s="5" t="s">
        <v>192</v>
      </c>
      <c r="AN10" s="5" t="s">
        <v>192</v>
      </c>
      <c r="AO10" s="5" t="s">
        <v>192</v>
      </c>
      <c r="AR10" s="5" t="s">
        <v>192</v>
      </c>
    </row>
    <row r="11" spans="2:90" x14ac:dyDescent="0.25">
      <c r="B11" t="s">
        <v>201</v>
      </c>
      <c r="C11" t="s">
        <v>202</v>
      </c>
      <c r="D11" t="s">
        <v>198</v>
      </c>
      <c r="F11" s="5" t="s">
        <v>192</v>
      </c>
      <c r="G11" s="5" t="s">
        <v>192</v>
      </c>
      <c r="H11" s="5" t="s">
        <v>192</v>
      </c>
      <c r="K11" s="5" t="s">
        <v>192</v>
      </c>
      <c r="N11" s="5" t="s">
        <v>192</v>
      </c>
      <c r="O11" s="5" t="s">
        <v>192</v>
      </c>
      <c r="Q11" s="18"/>
      <c r="U11" s="5" t="s">
        <v>192</v>
      </c>
      <c r="X11" s="5" t="s">
        <v>192</v>
      </c>
      <c r="Y11" s="5" t="s">
        <v>192</v>
      </c>
      <c r="Z11" s="5" t="s">
        <v>192</v>
      </c>
      <c r="AC11" s="5" t="s">
        <v>192</v>
      </c>
      <c r="AF11" s="5" t="s">
        <v>192</v>
      </c>
      <c r="AK11" s="5" t="s">
        <v>192</v>
      </c>
      <c r="AL11" s="5" t="s">
        <v>192</v>
      </c>
      <c r="AM11" s="5" t="s">
        <v>192</v>
      </c>
      <c r="AN11" s="5" t="s">
        <v>192</v>
      </c>
      <c r="AO11" s="5" t="s">
        <v>192</v>
      </c>
      <c r="AR11" s="5" t="s">
        <v>192</v>
      </c>
    </row>
    <row r="12" spans="2:90" x14ac:dyDescent="0.25">
      <c r="B12" t="s">
        <v>203</v>
      </c>
      <c r="C12" t="s">
        <v>204</v>
      </c>
      <c r="D12" t="s">
        <v>198</v>
      </c>
      <c r="F12" s="5" t="s">
        <v>192</v>
      </c>
      <c r="G12" s="5" t="s">
        <v>192</v>
      </c>
      <c r="H12" s="5" t="s">
        <v>192</v>
      </c>
      <c r="K12" s="5" t="s">
        <v>192</v>
      </c>
      <c r="N12" s="5" t="s">
        <v>192</v>
      </c>
      <c r="O12" s="5" t="s">
        <v>192</v>
      </c>
      <c r="U12" s="5" t="s">
        <v>192</v>
      </c>
      <c r="X12" s="5" t="s">
        <v>192</v>
      </c>
      <c r="Y12" s="5" t="s">
        <v>192</v>
      </c>
      <c r="Z12" s="5" t="s">
        <v>192</v>
      </c>
      <c r="AC12" s="5" t="s">
        <v>192</v>
      </c>
      <c r="AF12" s="5" t="s">
        <v>192</v>
      </c>
      <c r="AK12" s="5" t="s">
        <v>192</v>
      </c>
      <c r="AL12" s="5" t="s">
        <v>192</v>
      </c>
      <c r="AM12" s="5" t="s">
        <v>192</v>
      </c>
      <c r="AN12" s="5" t="s">
        <v>192</v>
      </c>
      <c r="AO12" s="5" t="s">
        <v>192</v>
      </c>
      <c r="AR12" s="5" t="s">
        <v>192</v>
      </c>
    </row>
    <row r="13" spans="2:90" x14ac:dyDescent="0.25">
      <c r="B13" t="s">
        <v>205</v>
      </c>
      <c r="C13" t="s">
        <v>206</v>
      </c>
      <c r="D13" t="s">
        <v>207</v>
      </c>
      <c r="E13" s="5" t="s">
        <v>192</v>
      </c>
      <c r="F13" s="5" t="s">
        <v>192</v>
      </c>
      <c r="G13" s="5" t="s">
        <v>192</v>
      </c>
      <c r="H13" s="5" t="s">
        <v>192</v>
      </c>
      <c r="I13" s="5" t="s">
        <v>192</v>
      </c>
      <c r="J13" s="5" t="s">
        <v>192</v>
      </c>
      <c r="K13" s="5" t="s">
        <v>192</v>
      </c>
      <c r="L13" s="5" t="s">
        <v>192</v>
      </c>
      <c r="M13" s="5" t="s">
        <v>192</v>
      </c>
      <c r="N13" s="5" t="s">
        <v>192</v>
      </c>
      <c r="O13" s="5" t="s">
        <v>192</v>
      </c>
      <c r="P13" s="5" t="s">
        <v>192</v>
      </c>
      <c r="Q13" s="5" t="s">
        <v>192</v>
      </c>
      <c r="R13" s="5" t="s">
        <v>192</v>
      </c>
      <c r="S13" s="5" t="s">
        <v>192</v>
      </c>
      <c r="T13" s="5" t="s">
        <v>192</v>
      </c>
      <c r="U13" s="5" t="s">
        <v>192</v>
      </c>
      <c r="V13" s="5" t="s">
        <v>192</v>
      </c>
      <c r="W13" s="5" t="s">
        <v>192</v>
      </c>
      <c r="X13" s="5" t="s">
        <v>192</v>
      </c>
      <c r="Y13" s="5" t="s">
        <v>192</v>
      </c>
      <c r="Z13" s="5" t="s">
        <v>192</v>
      </c>
      <c r="AA13" s="5" t="s">
        <v>192</v>
      </c>
      <c r="AB13" s="5" t="s">
        <v>192</v>
      </c>
      <c r="AC13" s="5" t="s">
        <v>192</v>
      </c>
      <c r="AD13" s="5" t="s">
        <v>192</v>
      </c>
      <c r="AE13" s="5" t="s">
        <v>192</v>
      </c>
      <c r="AF13" s="5" t="s">
        <v>192</v>
      </c>
      <c r="AG13" s="5" t="s">
        <v>192</v>
      </c>
      <c r="AH13" s="5" t="s">
        <v>192</v>
      </c>
      <c r="AI13" s="5" t="s">
        <v>192</v>
      </c>
      <c r="AJ13" s="5" t="s">
        <v>192</v>
      </c>
      <c r="AK13" s="5" t="s">
        <v>192</v>
      </c>
      <c r="AL13" s="5" t="s">
        <v>192</v>
      </c>
      <c r="AM13" s="5" t="s">
        <v>192</v>
      </c>
      <c r="AO13" s="5" t="s">
        <v>192</v>
      </c>
      <c r="AR13" s="5" t="s">
        <v>192</v>
      </c>
      <c r="AS13" s="5" t="s">
        <v>192</v>
      </c>
      <c r="AT13" s="5" t="s">
        <v>192</v>
      </c>
      <c r="AU13" s="5" t="s">
        <v>192</v>
      </c>
      <c r="AV13" s="5" t="s">
        <v>192</v>
      </c>
      <c r="AW13" s="5" t="s">
        <v>192</v>
      </c>
      <c r="AX13" s="5" t="s">
        <v>192</v>
      </c>
      <c r="AY13" s="5" t="s">
        <v>192</v>
      </c>
      <c r="AZ13" s="5" t="s">
        <v>192</v>
      </c>
      <c r="BA13" s="5" t="s">
        <v>192</v>
      </c>
      <c r="BB13" s="5" t="s">
        <v>192</v>
      </c>
      <c r="BC13" s="5" t="s">
        <v>192</v>
      </c>
      <c r="BD13" s="5" t="s">
        <v>192</v>
      </c>
      <c r="BE13" s="5" t="s">
        <v>192</v>
      </c>
    </row>
    <row r="14" spans="2:90" x14ac:dyDescent="0.25">
      <c r="B14" t="s">
        <v>208</v>
      </c>
      <c r="C14" t="s">
        <v>209</v>
      </c>
      <c r="D14" t="s">
        <v>207</v>
      </c>
      <c r="F14" s="5" t="s">
        <v>192</v>
      </c>
      <c r="G14" s="5" t="s">
        <v>192</v>
      </c>
      <c r="H14" s="5" t="s">
        <v>192</v>
      </c>
      <c r="I14" s="5" t="s">
        <v>192</v>
      </c>
      <c r="J14" s="5" t="s">
        <v>192</v>
      </c>
      <c r="K14" s="5" t="s">
        <v>192</v>
      </c>
      <c r="L14" s="5" t="s">
        <v>192</v>
      </c>
      <c r="M14" s="5" t="s">
        <v>192</v>
      </c>
      <c r="N14" s="5" t="s">
        <v>192</v>
      </c>
      <c r="O14" s="5" t="s">
        <v>192</v>
      </c>
      <c r="P14" s="5" t="s">
        <v>192</v>
      </c>
      <c r="Q14" s="5" t="s">
        <v>192</v>
      </c>
      <c r="R14" s="5" t="s">
        <v>192</v>
      </c>
      <c r="S14" s="5" t="s">
        <v>192</v>
      </c>
      <c r="T14" s="5" t="s">
        <v>192</v>
      </c>
      <c r="U14" s="5" t="s">
        <v>192</v>
      </c>
      <c r="V14" s="5" t="s">
        <v>192</v>
      </c>
      <c r="W14" s="5" t="s">
        <v>192</v>
      </c>
      <c r="X14" s="5" t="s">
        <v>192</v>
      </c>
      <c r="Y14" s="5" t="s">
        <v>192</v>
      </c>
      <c r="Z14" s="5" t="s">
        <v>192</v>
      </c>
      <c r="AA14" s="5" t="s">
        <v>192</v>
      </c>
      <c r="AB14" s="5" t="s">
        <v>192</v>
      </c>
    </row>
    <row r="15" spans="2:90" ht="16.350000000000001" customHeight="1" x14ac:dyDescent="0.25">
      <c r="B15" t="s">
        <v>210</v>
      </c>
      <c r="C15" t="s">
        <v>211</v>
      </c>
      <c r="D15" t="s">
        <v>207</v>
      </c>
      <c r="F15" s="5" t="s">
        <v>192</v>
      </c>
      <c r="G15" s="5" t="s">
        <v>192</v>
      </c>
      <c r="H15" s="5" t="s">
        <v>192</v>
      </c>
      <c r="I15" s="5" t="s">
        <v>192</v>
      </c>
      <c r="J15" s="5" t="s">
        <v>192</v>
      </c>
      <c r="K15" s="5" t="s">
        <v>192</v>
      </c>
      <c r="L15" s="5" t="s">
        <v>192</v>
      </c>
      <c r="M15" s="5" t="s">
        <v>192</v>
      </c>
      <c r="N15" s="5" t="s">
        <v>192</v>
      </c>
      <c r="O15" s="5" t="s">
        <v>192</v>
      </c>
      <c r="P15" s="5" t="s">
        <v>192</v>
      </c>
      <c r="Q15" s="5" t="s">
        <v>192</v>
      </c>
      <c r="R15" s="5" t="s">
        <v>192</v>
      </c>
      <c r="S15" s="5" t="s">
        <v>192</v>
      </c>
      <c r="T15" s="5" t="s">
        <v>192</v>
      </c>
      <c r="U15" s="5" t="s">
        <v>192</v>
      </c>
      <c r="V15" s="5" t="s">
        <v>192</v>
      </c>
      <c r="W15" s="5" t="s">
        <v>192</v>
      </c>
      <c r="X15" s="5" t="s">
        <v>192</v>
      </c>
      <c r="Y15" s="5" t="s">
        <v>192</v>
      </c>
      <c r="Z15" s="5" t="s">
        <v>192</v>
      </c>
      <c r="AA15" s="5" t="s">
        <v>192</v>
      </c>
      <c r="AB15" s="5" t="s">
        <v>192</v>
      </c>
      <c r="AM15" s="18"/>
    </row>
    <row r="16" spans="2:90" x14ac:dyDescent="0.25">
      <c r="B16" t="s">
        <v>212</v>
      </c>
      <c r="C16" t="s">
        <v>213</v>
      </c>
      <c r="D16" t="s">
        <v>207</v>
      </c>
      <c r="E16" s="5" t="s">
        <v>192</v>
      </c>
      <c r="R16" s="18"/>
      <c r="X16" s="5" t="s">
        <v>192</v>
      </c>
      <c r="Z16" s="5" t="s">
        <v>192</v>
      </c>
      <c r="AA16" s="5" t="s">
        <v>192</v>
      </c>
      <c r="AB16" s="5" t="s">
        <v>192</v>
      </c>
      <c r="AM16" s="18"/>
      <c r="AO16" s="5" t="s">
        <v>192</v>
      </c>
      <c r="AP16" s="5" t="s">
        <v>192</v>
      </c>
      <c r="AR16" s="5" t="s">
        <v>192</v>
      </c>
      <c r="BP16" s="5" t="s">
        <v>192</v>
      </c>
      <c r="BQ16" s="5" t="s">
        <v>192</v>
      </c>
      <c r="BS16" s="5" t="s">
        <v>192</v>
      </c>
    </row>
    <row r="17" spans="2:42" x14ac:dyDescent="0.25">
      <c r="B17" t="s">
        <v>214</v>
      </c>
      <c r="C17" t="s">
        <v>215</v>
      </c>
      <c r="D17" t="s">
        <v>216</v>
      </c>
      <c r="F17" s="5" t="s">
        <v>192</v>
      </c>
      <c r="G17" s="5" t="s">
        <v>192</v>
      </c>
      <c r="H17" s="5" t="s">
        <v>192</v>
      </c>
      <c r="K17" s="5" t="s">
        <v>192</v>
      </c>
      <c r="N17" s="5" t="s">
        <v>192</v>
      </c>
      <c r="O17" s="5" t="s">
        <v>192</v>
      </c>
      <c r="R17" s="18"/>
      <c r="U17" s="5" t="s">
        <v>192</v>
      </c>
      <c r="X17" s="5" t="s">
        <v>192</v>
      </c>
      <c r="Y17" s="5" t="s">
        <v>192</v>
      </c>
      <c r="Z17" s="5" t="s">
        <v>192</v>
      </c>
      <c r="AP17" s="5" t="s">
        <v>192</v>
      </c>
    </row>
    <row r="18" spans="2:42" x14ac:dyDescent="0.25">
      <c r="B18" t="s">
        <v>217</v>
      </c>
      <c r="C18" t="s">
        <v>218</v>
      </c>
      <c r="D18" t="s">
        <v>216</v>
      </c>
      <c r="F18" s="5" t="s">
        <v>192</v>
      </c>
      <c r="G18" s="5" t="s">
        <v>192</v>
      </c>
      <c r="H18" s="5" t="s">
        <v>192</v>
      </c>
      <c r="K18" s="5" t="s">
        <v>192</v>
      </c>
      <c r="N18" s="5" t="s">
        <v>192</v>
      </c>
      <c r="O18" s="5" t="s">
        <v>192</v>
      </c>
      <c r="U18" s="5" t="s">
        <v>192</v>
      </c>
      <c r="X18" s="5" t="s">
        <v>192</v>
      </c>
      <c r="Y18" s="5" t="s">
        <v>192</v>
      </c>
      <c r="Z18" s="5" t="s">
        <v>192</v>
      </c>
      <c r="AE18"/>
      <c r="AN18"/>
      <c r="AP18" s="5" t="s">
        <v>192</v>
      </c>
    </row>
    <row r="19" spans="2:42" x14ac:dyDescent="0.25">
      <c r="B19" t="s">
        <v>219</v>
      </c>
      <c r="C19" t="s">
        <v>220</v>
      </c>
      <c r="D19" t="s">
        <v>216</v>
      </c>
      <c r="F19" s="5" t="s">
        <v>192</v>
      </c>
      <c r="G19" s="5" t="s">
        <v>192</v>
      </c>
      <c r="H19" s="5" t="s">
        <v>192</v>
      </c>
      <c r="K19" s="5" t="s">
        <v>192</v>
      </c>
      <c r="N19" s="5" t="s">
        <v>192</v>
      </c>
      <c r="O19" s="5" t="s">
        <v>192</v>
      </c>
      <c r="U19" s="5" t="s">
        <v>192</v>
      </c>
      <c r="X19" s="5" t="s">
        <v>192</v>
      </c>
      <c r="Y19" s="5" t="s">
        <v>192</v>
      </c>
      <c r="Z19" s="5" t="s">
        <v>192</v>
      </c>
      <c r="AF19"/>
      <c r="AH19" s="18"/>
      <c r="AN19"/>
    </row>
    <row r="20" spans="2:42" x14ac:dyDescent="0.25">
      <c r="B20" t="s">
        <v>221</v>
      </c>
      <c r="C20" t="s">
        <v>222</v>
      </c>
      <c r="D20" t="s">
        <v>216</v>
      </c>
      <c r="F20" s="5" t="s">
        <v>192</v>
      </c>
      <c r="G20" s="5" t="s">
        <v>192</v>
      </c>
      <c r="H20" s="5" t="s">
        <v>192</v>
      </c>
      <c r="K20" s="5" t="s">
        <v>192</v>
      </c>
      <c r="N20" s="5" t="s">
        <v>192</v>
      </c>
      <c r="O20" s="5" t="s">
        <v>192</v>
      </c>
      <c r="U20" s="5" t="s">
        <v>192</v>
      </c>
      <c r="X20" s="5" t="s">
        <v>192</v>
      </c>
      <c r="Y20" s="5" t="s">
        <v>192</v>
      </c>
      <c r="Z20" s="5" t="s">
        <v>192</v>
      </c>
      <c r="AH20" s="18"/>
      <c r="AN20"/>
    </row>
    <row r="21" spans="2:42" x14ac:dyDescent="0.25">
      <c r="B21" t="s">
        <v>223</v>
      </c>
      <c r="C21" t="s">
        <v>224</v>
      </c>
      <c r="D21" t="s">
        <v>216</v>
      </c>
      <c r="F21" s="5" t="s">
        <v>192</v>
      </c>
      <c r="G21" s="5" t="s">
        <v>192</v>
      </c>
      <c r="H21" s="5" t="s">
        <v>192</v>
      </c>
      <c r="K21" s="5" t="s">
        <v>192</v>
      </c>
      <c r="N21" s="5" t="s">
        <v>192</v>
      </c>
      <c r="O21" s="5" t="s">
        <v>192</v>
      </c>
      <c r="U21" s="5" t="s">
        <v>192</v>
      </c>
      <c r="X21" s="5" t="s">
        <v>192</v>
      </c>
      <c r="Y21" s="5" t="s">
        <v>192</v>
      </c>
      <c r="Z21" s="5" t="s">
        <v>192</v>
      </c>
      <c r="AN21"/>
    </row>
    <row r="22" spans="2:42" x14ac:dyDescent="0.25">
      <c r="B22" t="s">
        <v>225</v>
      </c>
      <c r="C22" t="s">
        <v>226</v>
      </c>
      <c r="D22" t="s">
        <v>216</v>
      </c>
      <c r="F22" s="5" t="s">
        <v>192</v>
      </c>
      <c r="G22" s="5" t="s">
        <v>192</v>
      </c>
      <c r="H22" s="5" t="s">
        <v>192</v>
      </c>
      <c r="K22" s="5" t="s">
        <v>192</v>
      </c>
      <c r="N22" s="5" t="s">
        <v>192</v>
      </c>
      <c r="O22" s="5" t="s">
        <v>192</v>
      </c>
      <c r="U22" s="5" t="s">
        <v>192</v>
      </c>
      <c r="X22" s="5" t="s">
        <v>192</v>
      </c>
      <c r="Y22" s="5" t="s">
        <v>192</v>
      </c>
      <c r="Z22" s="5" t="s">
        <v>192</v>
      </c>
    </row>
    <row r="23" spans="2:42" x14ac:dyDescent="0.25">
      <c r="B23" s="6" t="s">
        <v>227</v>
      </c>
      <c r="C23" t="s">
        <v>228</v>
      </c>
      <c r="D23" t="s">
        <v>216</v>
      </c>
      <c r="F23" s="5" t="s">
        <v>192</v>
      </c>
      <c r="G23" s="5" t="s">
        <v>192</v>
      </c>
      <c r="H23" s="5" t="s">
        <v>192</v>
      </c>
      <c r="K23" s="5" t="s">
        <v>192</v>
      </c>
      <c r="N23" s="5" t="s">
        <v>192</v>
      </c>
      <c r="O23" s="5" t="s">
        <v>192</v>
      </c>
      <c r="U23" s="5" t="s">
        <v>192</v>
      </c>
      <c r="X23" s="5" t="s">
        <v>192</v>
      </c>
      <c r="Y23" s="5" t="s">
        <v>192</v>
      </c>
      <c r="Z23" s="5" t="s">
        <v>192</v>
      </c>
      <c r="AP23" s="5" t="s">
        <v>192</v>
      </c>
    </row>
    <row r="24" spans="2:42" x14ac:dyDescent="0.25">
      <c r="B24" s="6" t="s">
        <v>229</v>
      </c>
      <c r="C24" t="s">
        <v>230</v>
      </c>
      <c r="D24" t="s">
        <v>216</v>
      </c>
      <c r="F24" s="5" t="s">
        <v>192</v>
      </c>
      <c r="G24" s="5" t="s">
        <v>192</v>
      </c>
      <c r="H24" s="5" t="s">
        <v>192</v>
      </c>
      <c r="K24" s="5" t="s">
        <v>192</v>
      </c>
      <c r="N24" s="5" t="s">
        <v>192</v>
      </c>
      <c r="O24" s="5" t="s">
        <v>192</v>
      </c>
      <c r="U24" s="5" t="s">
        <v>192</v>
      </c>
      <c r="X24" s="5" t="s">
        <v>192</v>
      </c>
      <c r="Y24" s="5" t="s">
        <v>192</v>
      </c>
      <c r="Z24" s="5" t="s">
        <v>192</v>
      </c>
      <c r="AP24" s="5" t="s">
        <v>192</v>
      </c>
    </row>
    <row r="25" spans="2:42" x14ac:dyDescent="0.25">
      <c r="B25" s="6" t="s">
        <v>231</v>
      </c>
      <c r="C25" t="s">
        <v>232</v>
      </c>
      <c r="D25" t="s">
        <v>216</v>
      </c>
      <c r="F25" s="5" t="s">
        <v>192</v>
      </c>
      <c r="G25" s="5" t="s">
        <v>192</v>
      </c>
      <c r="H25" s="5" t="s">
        <v>192</v>
      </c>
      <c r="K25" s="5" t="s">
        <v>192</v>
      </c>
      <c r="N25" s="5" t="s">
        <v>192</v>
      </c>
      <c r="O25" s="5" t="s">
        <v>192</v>
      </c>
      <c r="U25" s="5" t="s">
        <v>192</v>
      </c>
      <c r="X25" s="5" t="s">
        <v>192</v>
      </c>
      <c r="Y25" s="5" t="s">
        <v>192</v>
      </c>
      <c r="Z25" s="5" t="s">
        <v>192</v>
      </c>
    </row>
    <row r="26" spans="2:42" x14ac:dyDescent="0.25">
      <c r="B26" s="6" t="s">
        <v>233</v>
      </c>
      <c r="C26" t="s">
        <v>234</v>
      </c>
      <c r="D26" t="s">
        <v>216</v>
      </c>
      <c r="F26" s="5" t="s">
        <v>192</v>
      </c>
      <c r="G26" s="5" t="s">
        <v>192</v>
      </c>
      <c r="H26" s="5" t="s">
        <v>192</v>
      </c>
      <c r="K26" s="5" t="s">
        <v>192</v>
      </c>
      <c r="N26" s="5" t="s">
        <v>192</v>
      </c>
      <c r="O26" s="5" t="s">
        <v>192</v>
      </c>
      <c r="U26" s="5" t="s">
        <v>192</v>
      </c>
      <c r="X26" s="5" t="s">
        <v>192</v>
      </c>
      <c r="Y26" s="5" t="s">
        <v>192</v>
      </c>
      <c r="Z26" s="5" t="s">
        <v>192</v>
      </c>
    </row>
    <row r="27" spans="2:42" x14ac:dyDescent="0.25">
      <c r="B27" s="6" t="s">
        <v>235</v>
      </c>
      <c r="C27" t="s">
        <v>236</v>
      </c>
      <c r="D27" t="s">
        <v>216</v>
      </c>
      <c r="F27" s="5" t="s">
        <v>192</v>
      </c>
      <c r="G27" s="5" t="s">
        <v>192</v>
      </c>
      <c r="H27" s="5" t="s">
        <v>192</v>
      </c>
      <c r="K27" s="5" t="s">
        <v>192</v>
      </c>
      <c r="N27" s="5" t="s">
        <v>192</v>
      </c>
      <c r="O27" s="5" t="s">
        <v>192</v>
      </c>
      <c r="U27" s="5" t="s">
        <v>192</v>
      </c>
      <c r="X27" s="5" t="s">
        <v>192</v>
      </c>
      <c r="Y27" s="5" t="s">
        <v>192</v>
      </c>
      <c r="Z27" s="5" t="s">
        <v>192</v>
      </c>
    </row>
    <row r="28" spans="2:42" x14ac:dyDescent="0.25">
      <c r="B28" s="6" t="s">
        <v>237</v>
      </c>
      <c r="C28" t="s">
        <v>238</v>
      </c>
      <c r="D28" t="s">
        <v>216</v>
      </c>
      <c r="F28" s="5" t="s">
        <v>192</v>
      </c>
      <c r="G28" s="5" t="s">
        <v>192</v>
      </c>
      <c r="H28" s="5" t="s">
        <v>192</v>
      </c>
      <c r="K28" s="5" t="s">
        <v>192</v>
      </c>
      <c r="N28" s="5" t="s">
        <v>192</v>
      </c>
      <c r="O28" s="5" t="s">
        <v>192</v>
      </c>
      <c r="U28" s="5" t="s">
        <v>192</v>
      </c>
      <c r="X28" s="5" t="s">
        <v>192</v>
      </c>
      <c r="Y28" s="5" t="s">
        <v>192</v>
      </c>
      <c r="Z28" s="5" t="s">
        <v>192</v>
      </c>
    </row>
    <row r="29" spans="2:42" x14ac:dyDescent="0.25">
      <c r="B29" s="6" t="s">
        <v>239</v>
      </c>
      <c r="C29" t="s">
        <v>240</v>
      </c>
      <c r="D29" t="s">
        <v>241</v>
      </c>
      <c r="F29" s="5" t="s">
        <v>192</v>
      </c>
      <c r="G29" s="5" t="s">
        <v>192</v>
      </c>
      <c r="H29" s="5" t="s">
        <v>192</v>
      </c>
      <c r="K29" s="5" t="s">
        <v>192</v>
      </c>
      <c r="N29" s="5" t="s">
        <v>192</v>
      </c>
      <c r="O29" s="5" t="s">
        <v>192</v>
      </c>
      <c r="U29" s="5" t="s">
        <v>192</v>
      </c>
      <c r="X29" s="5" t="s">
        <v>192</v>
      </c>
      <c r="Y29" s="5" t="s">
        <v>192</v>
      </c>
      <c r="Z29" s="5" t="s">
        <v>192</v>
      </c>
      <c r="AP29" s="5" t="s">
        <v>192</v>
      </c>
    </row>
    <row r="30" spans="2:42" x14ac:dyDescent="0.25">
      <c r="B30" s="6" t="s">
        <v>242</v>
      </c>
      <c r="C30" t="s">
        <v>243</v>
      </c>
      <c r="D30" t="s">
        <v>241</v>
      </c>
      <c r="F30" s="5" t="s">
        <v>192</v>
      </c>
      <c r="G30" s="5" t="s">
        <v>192</v>
      </c>
      <c r="H30" s="5" t="s">
        <v>192</v>
      </c>
      <c r="K30" s="5" t="s">
        <v>192</v>
      </c>
      <c r="N30" s="5" t="s">
        <v>192</v>
      </c>
      <c r="O30" s="5" t="s">
        <v>192</v>
      </c>
      <c r="U30" s="5" t="s">
        <v>192</v>
      </c>
      <c r="X30" s="5" t="s">
        <v>192</v>
      </c>
      <c r="Y30" s="5" t="s">
        <v>192</v>
      </c>
      <c r="Z30" s="5" t="s">
        <v>192</v>
      </c>
    </row>
    <row r="31" spans="2:42" x14ac:dyDescent="0.25">
      <c r="B31" s="6" t="s">
        <v>244</v>
      </c>
      <c r="C31" t="s">
        <v>245</v>
      </c>
      <c r="D31" t="s">
        <v>241</v>
      </c>
      <c r="F31" s="5" t="s">
        <v>192</v>
      </c>
      <c r="G31" s="5" t="s">
        <v>192</v>
      </c>
      <c r="H31" s="5" t="s">
        <v>192</v>
      </c>
      <c r="K31" s="5" t="s">
        <v>192</v>
      </c>
      <c r="N31" s="5" t="s">
        <v>192</v>
      </c>
      <c r="O31" s="5" t="s">
        <v>192</v>
      </c>
      <c r="U31" s="5" t="s">
        <v>192</v>
      </c>
      <c r="X31" s="5" t="s">
        <v>192</v>
      </c>
      <c r="Y31" s="5" t="s">
        <v>192</v>
      </c>
      <c r="Z31" s="5" t="s">
        <v>192</v>
      </c>
    </row>
    <row r="32" spans="2:42" x14ac:dyDescent="0.25">
      <c r="B32" s="6" t="s">
        <v>246</v>
      </c>
      <c r="C32" t="s">
        <v>247</v>
      </c>
      <c r="D32" s="75" t="s">
        <v>248</v>
      </c>
      <c r="AC32" s="5" t="s">
        <v>192</v>
      </c>
      <c r="AK32" s="5" t="s">
        <v>192</v>
      </c>
    </row>
    <row r="33" spans="2:68" x14ac:dyDescent="0.25">
      <c r="B33" s="6" t="s">
        <v>249</v>
      </c>
      <c r="C33" t="s">
        <v>250</v>
      </c>
      <c r="D33" s="75" t="s">
        <v>248</v>
      </c>
      <c r="AC33" s="5" t="s">
        <v>192</v>
      </c>
      <c r="AK33" s="5" t="s">
        <v>192</v>
      </c>
    </row>
    <row r="34" spans="2:68" x14ac:dyDescent="0.25">
      <c r="B34" s="69" t="s">
        <v>251</v>
      </c>
      <c r="C34" s="66" t="s">
        <v>252</v>
      </c>
      <c r="D34" s="75" t="s">
        <v>253</v>
      </c>
      <c r="AR34" s="5" t="s">
        <v>192</v>
      </c>
      <c r="BD34" s="5" t="s">
        <v>192</v>
      </c>
      <c r="BF34" s="5" t="s">
        <v>192</v>
      </c>
      <c r="BG34" s="5" t="s">
        <v>192</v>
      </c>
      <c r="BH34" s="5" t="s">
        <v>192</v>
      </c>
      <c r="BI34" s="5" t="s">
        <v>192</v>
      </c>
      <c r="BJ34" s="5" t="s">
        <v>192</v>
      </c>
      <c r="BK34" s="5" t="s">
        <v>192</v>
      </c>
      <c r="BL34" s="5" t="s">
        <v>192</v>
      </c>
      <c r="BM34" s="5" t="s">
        <v>192</v>
      </c>
      <c r="BN34" s="5" t="s">
        <v>192</v>
      </c>
      <c r="BO34" s="5" t="s">
        <v>192</v>
      </c>
    </row>
    <row r="35" spans="2:68" x14ac:dyDescent="0.25">
      <c r="B35" s="69" t="s">
        <v>254</v>
      </c>
      <c r="C35" s="66" t="s">
        <v>255</v>
      </c>
      <c r="D35" s="75" t="s">
        <v>253</v>
      </c>
      <c r="AR35" s="5" t="s">
        <v>192</v>
      </c>
      <c r="BD35" s="5" t="s">
        <v>192</v>
      </c>
    </row>
    <row r="36" spans="2:68" x14ac:dyDescent="0.25">
      <c r="B36" s="69" t="s">
        <v>256</v>
      </c>
      <c r="C36" s="66" t="s">
        <v>257</v>
      </c>
      <c r="D36" s="75" t="s">
        <v>253</v>
      </c>
      <c r="AR36" s="5" t="s">
        <v>192</v>
      </c>
      <c r="BD36" s="5" t="s">
        <v>192</v>
      </c>
      <c r="BF36" s="5" t="s">
        <v>192</v>
      </c>
      <c r="BG36" s="5" t="s">
        <v>192</v>
      </c>
      <c r="BH36" s="5" t="s">
        <v>192</v>
      </c>
      <c r="BI36" s="5" t="s">
        <v>192</v>
      </c>
      <c r="BJ36" s="5" t="s">
        <v>192</v>
      </c>
      <c r="BK36" s="5" t="s">
        <v>192</v>
      </c>
      <c r="BL36" s="5" t="s">
        <v>192</v>
      </c>
      <c r="BM36" s="5" t="s">
        <v>192</v>
      </c>
      <c r="BN36" s="5" t="s">
        <v>192</v>
      </c>
      <c r="BO36" s="5" t="s">
        <v>192</v>
      </c>
    </row>
    <row r="37" spans="2:68" x14ac:dyDescent="0.25">
      <c r="B37" s="69" t="s">
        <v>258</v>
      </c>
      <c r="C37" s="66" t="s">
        <v>259</v>
      </c>
      <c r="D37" s="75" t="s">
        <v>260</v>
      </c>
      <c r="AR37" s="5" t="s">
        <v>192</v>
      </c>
      <c r="BD37" s="5" t="s">
        <v>192</v>
      </c>
      <c r="BF37" s="5" t="s">
        <v>192</v>
      </c>
      <c r="BG37" s="5" t="s">
        <v>192</v>
      </c>
      <c r="BH37" s="5" t="s">
        <v>192</v>
      </c>
      <c r="BI37" s="5" t="s">
        <v>192</v>
      </c>
      <c r="BJ37" s="5" t="s">
        <v>192</v>
      </c>
      <c r="BK37" s="5" t="s">
        <v>192</v>
      </c>
      <c r="BL37" s="5" t="s">
        <v>192</v>
      </c>
      <c r="BM37" s="5" t="s">
        <v>192</v>
      </c>
      <c r="BN37" s="5" t="s">
        <v>192</v>
      </c>
      <c r="BO37" s="5" t="s">
        <v>192</v>
      </c>
    </row>
    <row r="38" spans="2:68" x14ac:dyDescent="0.25">
      <c r="B38" s="66" t="s">
        <v>261</v>
      </c>
      <c r="C38" s="66" t="s">
        <v>197</v>
      </c>
      <c r="D38" t="s">
        <v>262</v>
      </c>
      <c r="Q38"/>
      <c r="AR38" s="5" t="s">
        <v>192</v>
      </c>
      <c r="BD38" s="67" t="s">
        <v>263</v>
      </c>
      <c r="BE38" s="67" t="s">
        <v>263</v>
      </c>
      <c r="BF38" s="67" t="s">
        <v>192</v>
      </c>
      <c r="BG38" s="67" t="s">
        <v>192</v>
      </c>
      <c r="BH38" s="67" t="s">
        <v>192</v>
      </c>
      <c r="BI38" s="67" t="s">
        <v>192</v>
      </c>
      <c r="BJ38" s="67" t="s">
        <v>192</v>
      </c>
      <c r="BK38" s="67" t="s">
        <v>192</v>
      </c>
      <c r="BL38" s="67" t="s">
        <v>192</v>
      </c>
      <c r="BM38" s="67" t="s">
        <v>192</v>
      </c>
      <c r="BN38" s="67" t="s">
        <v>192</v>
      </c>
      <c r="BO38" s="67" t="s">
        <v>192</v>
      </c>
      <c r="BP38" s="67"/>
    </row>
    <row r="39" spans="2:68" x14ac:dyDescent="0.25">
      <c r="B39" s="6" t="s">
        <v>264</v>
      </c>
      <c r="C39" t="s">
        <v>265</v>
      </c>
      <c r="D39" t="s">
        <v>266</v>
      </c>
      <c r="AC39" s="5" t="s">
        <v>192</v>
      </c>
      <c r="AF39" s="5" t="s">
        <v>192</v>
      </c>
      <c r="AK39" s="5" t="s">
        <v>192</v>
      </c>
      <c r="AM39" s="5" t="s">
        <v>192</v>
      </c>
      <c r="AN39" s="5" t="s">
        <v>192</v>
      </c>
    </row>
    <row r="40" spans="2:68" x14ac:dyDescent="0.25">
      <c r="B40" t="s">
        <v>267</v>
      </c>
      <c r="C40" t="s">
        <v>268</v>
      </c>
      <c r="D40" t="s">
        <v>269</v>
      </c>
      <c r="F40" s="5" t="s">
        <v>192</v>
      </c>
      <c r="G40" s="5" t="s">
        <v>192</v>
      </c>
      <c r="H40" s="5" t="s">
        <v>192</v>
      </c>
      <c r="K40" s="5" t="s">
        <v>192</v>
      </c>
      <c r="N40" s="5" t="s">
        <v>192</v>
      </c>
      <c r="O40" s="5" t="s">
        <v>192</v>
      </c>
      <c r="U40" s="5" t="s">
        <v>192</v>
      </c>
      <c r="Y40" s="5" t="s">
        <v>192</v>
      </c>
      <c r="Z40" s="5" t="s">
        <v>192</v>
      </c>
      <c r="AC40" s="5" t="s">
        <v>192</v>
      </c>
      <c r="AF40" s="5" t="s">
        <v>192</v>
      </c>
      <c r="AK40" s="5" t="s">
        <v>192</v>
      </c>
      <c r="AL40" s="5" t="s">
        <v>192</v>
      </c>
      <c r="AM40" s="5" t="s">
        <v>192</v>
      </c>
      <c r="AN40" s="5" t="s">
        <v>192</v>
      </c>
      <c r="AO40" s="5" t="s">
        <v>192</v>
      </c>
    </row>
    <row r="41" spans="2:68" x14ac:dyDescent="0.25">
      <c r="B41" t="s">
        <v>270</v>
      </c>
      <c r="C41" t="s">
        <v>271</v>
      </c>
      <c r="D41" t="s">
        <v>269</v>
      </c>
      <c r="F41" s="5" t="s">
        <v>192</v>
      </c>
      <c r="G41" s="5" t="s">
        <v>192</v>
      </c>
      <c r="H41" s="5" t="s">
        <v>192</v>
      </c>
      <c r="K41" s="5" t="s">
        <v>192</v>
      </c>
      <c r="N41" s="5" t="s">
        <v>192</v>
      </c>
      <c r="O41" s="5" t="s">
        <v>192</v>
      </c>
      <c r="U41" s="5" t="s">
        <v>192</v>
      </c>
      <c r="Y41" s="5" t="s">
        <v>192</v>
      </c>
      <c r="Z41" s="5" t="s">
        <v>192</v>
      </c>
      <c r="AC41" s="5" t="s">
        <v>192</v>
      </c>
      <c r="AF41" s="5" t="s">
        <v>192</v>
      </c>
      <c r="AK41" s="5" t="s">
        <v>192</v>
      </c>
      <c r="AL41" s="5" t="s">
        <v>192</v>
      </c>
      <c r="AM41" s="5" t="s">
        <v>192</v>
      </c>
      <c r="AN41" s="5" t="s">
        <v>192</v>
      </c>
      <c r="AO41" s="5" t="s">
        <v>192</v>
      </c>
    </row>
    <row r="42" spans="2:68" x14ac:dyDescent="0.25">
      <c r="B42" t="s">
        <v>272</v>
      </c>
      <c r="C42" t="s">
        <v>273</v>
      </c>
      <c r="D42" t="s">
        <v>269</v>
      </c>
      <c r="F42" s="5" t="s">
        <v>192</v>
      </c>
      <c r="G42" s="5" t="s">
        <v>192</v>
      </c>
      <c r="H42" s="5" t="s">
        <v>192</v>
      </c>
      <c r="K42" s="5" t="s">
        <v>192</v>
      </c>
      <c r="N42" s="5" t="s">
        <v>192</v>
      </c>
      <c r="O42" s="5" t="s">
        <v>192</v>
      </c>
      <c r="U42" s="5" t="s">
        <v>192</v>
      </c>
      <c r="Y42" s="5" t="s">
        <v>192</v>
      </c>
      <c r="Z42" s="5" t="s">
        <v>192</v>
      </c>
      <c r="AN42" s="5" t="s">
        <v>192</v>
      </c>
      <c r="AP42" s="5" t="s">
        <v>192</v>
      </c>
      <c r="AQ42" s="5" t="s">
        <v>192</v>
      </c>
    </row>
    <row r="43" spans="2:68" x14ac:dyDescent="0.25">
      <c r="B43" t="s">
        <v>274</v>
      </c>
      <c r="C43" t="s">
        <v>275</v>
      </c>
      <c r="D43" t="s">
        <v>269</v>
      </c>
      <c r="F43" s="5" t="s">
        <v>192</v>
      </c>
      <c r="G43" s="5" t="s">
        <v>192</v>
      </c>
      <c r="H43" s="5" t="s">
        <v>192</v>
      </c>
      <c r="K43" s="5" t="s">
        <v>192</v>
      </c>
      <c r="N43" s="5" t="s">
        <v>192</v>
      </c>
      <c r="O43" s="5" t="s">
        <v>192</v>
      </c>
      <c r="U43" s="5" t="s">
        <v>192</v>
      </c>
      <c r="Y43" s="5" t="s">
        <v>192</v>
      </c>
      <c r="Z43" s="5" t="s">
        <v>192</v>
      </c>
      <c r="AN43" s="5" t="s">
        <v>192</v>
      </c>
      <c r="AP43" s="5" t="s">
        <v>192</v>
      </c>
      <c r="AQ43" s="5" t="s">
        <v>192</v>
      </c>
    </row>
    <row r="44" spans="2:68" x14ac:dyDescent="0.25">
      <c r="B44" t="s">
        <v>276</v>
      </c>
      <c r="C44" t="s">
        <v>277</v>
      </c>
      <c r="D44" t="s">
        <v>269</v>
      </c>
      <c r="F44" s="5" t="s">
        <v>192</v>
      </c>
      <c r="G44" s="5" t="s">
        <v>192</v>
      </c>
      <c r="H44" s="5" t="s">
        <v>192</v>
      </c>
      <c r="K44" s="5" t="s">
        <v>192</v>
      </c>
      <c r="N44" s="5" t="s">
        <v>192</v>
      </c>
      <c r="O44" s="5" t="s">
        <v>192</v>
      </c>
      <c r="U44" s="5" t="s">
        <v>192</v>
      </c>
      <c r="X44" s="5" t="s">
        <v>192</v>
      </c>
      <c r="Y44" s="5" t="s">
        <v>192</v>
      </c>
      <c r="Z44" s="5" t="s">
        <v>192</v>
      </c>
      <c r="AC44" s="5" t="s">
        <v>192</v>
      </c>
      <c r="AF44" s="5" t="s">
        <v>192</v>
      </c>
      <c r="AK44" s="5" t="s">
        <v>192</v>
      </c>
      <c r="AL44" s="5" t="s">
        <v>192</v>
      </c>
      <c r="AM44" s="5" t="s">
        <v>192</v>
      </c>
      <c r="AN44" s="5" t="s">
        <v>192</v>
      </c>
      <c r="AO44" s="5" t="s">
        <v>192</v>
      </c>
    </row>
    <row r="45" spans="2:68" x14ac:dyDescent="0.25">
      <c r="B45" t="s">
        <v>278</v>
      </c>
      <c r="C45" t="s">
        <v>279</v>
      </c>
      <c r="D45" t="s">
        <v>269</v>
      </c>
      <c r="F45" s="5" t="s">
        <v>192</v>
      </c>
      <c r="G45" s="5" t="s">
        <v>192</v>
      </c>
      <c r="H45" s="5" t="s">
        <v>192</v>
      </c>
      <c r="K45" s="5" t="s">
        <v>192</v>
      </c>
      <c r="N45" s="5" t="s">
        <v>192</v>
      </c>
      <c r="O45" s="5" t="s">
        <v>192</v>
      </c>
      <c r="U45" s="5" t="s">
        <v>192</v>
      </c>
      <c r="X45" s="5" t="s">
        <v>192</v>
      </c>
      <c r="Y45" s="5" t="s">
        <v>192</v>
      </c>
      <c r="Z45" s="5" t="s">
        <v>192</v>
      </c>
      <c r="AC45" s="5" t="s">
        <v>192</v>
      </c>
      <c r="AF45" s="5" t="s">
        <v>192</v>
      </c>
      <c r="AK45" s="5" t="s">
        <v>192</v>
      </c>
      <c r="AL45" s="5" t="s">
        <v>192</v>
      </c>
      <c r="AM45" s="5" t="s">
        <v>192</v>
      </c>
      <c r="AN45" s="5" t="s">
        <v>192</v>
      </c>
      <c r="AO45" s="5" t="s">
        <v>192</v>
      </c>
    </row>
    <row r="46" spans="2:68" x14ac:dyDescent="0.25">
      <c r="B46" t="s">
        <v>280</v>
      </c>
      <c r="C46" t="s">
        <v>281</v>
      </c>
      <c r="D46" t="s">
        <v>269</v>
      </c>
      <c r="F46" s="5" t="s">
        <v>192</v>
      </c>
      <c r="G46" s="5" t="s">
        <v>192</v>
      </c>
      <c r="H46" s="5" t="s">
        <v>192</v>
      </c>
      <c r="K46" s="5" t="s">
        <v>192</v>
      </c>
      <c r="N46" s="5" t="s">
        <v>192</v>
      </c>
      <c r="O46" s="5" t="s">
        <v>192</v>
      </c>
      <c r="U46" s="5" t="s">
        <v>192</v>
      </c>
      <c r="X46" s="5" t="s">
        <v>192</v>
      </c>
      <c r="Y46" s="5" t="s">
        <v>192</v>
      </c>
      <c r="Z46" s="5" t="s">
        <v>192</v>
      </c>
      <c r="AC46" s="5" t="s">
        <v>192</v>
      </c>
      <c r="AF46" s="5" t="s">
        <v>192</v>
      </c>
      <c r="AK46" s="5" t="s">
        <v>192</v>
      </c>
      <c r="AL46" s="5" t="s">
        <v>192</v>
      </c>
      <c r="AM46" s="5" t="s">
        <v>192</v>
      </c>
      <c r="AN46" s="5" t="s">
        <v>192</v>
      </c>
      <c r="AO46" s="5" t="s">
        <v>192</v>
      </c>
    </row>
    <row r="47" spans="2:68" x14ac:dyDescent="0.25">
      <c r="B47" t="s">
        <v>282</v>
      </c>
      <c r="C47" t="s">
        <v>283</v>
      </c>
      <c r="D47" t="s">
        <v>269</v>
      </c>
      <c r="F47" s="5" t="s">
        <v>192</v>
      </c>
      <c r="G47" s="5" t="s">
        <v>192</v>
      </c>
      <c r="H47" s="5" t="s">
        <v>192</v>
      </c>
      <c r="K47" s="5" t="s">
        <v>192</v>
      </c>
      <c r="N47" s="5" t="s">
        <v>192</v>
      </c>
      <c r="O47" s="5" t="s">
        <v>192</v>
      </c>
      <c r="U47" s="5" t="s">
        <v>192</v>
      </c>
      <c r="X47" s="5" t="s">
        <v>192</v>
      </c>
      <c r="Y47" s="5" t="s">
        <v>192</v>
      </c>
      <c r="Z47" s="5" t="s">
        <v>192</v>
      </c>
      <c r="AC47" s="5" t="s">
        <v>192</v>
      </c>
      <c r="AF47" s="5" t="s">
        <v>192</v>
      </c>
      <c r="AK47" s="5" t="s">
        <v>192</v>
      </c>
      <c r="AL47" s="5" t="s">
        <v>192</v>
      </c>
      <c r="AM47" s="5" t="s">
        <v>192</v>
      </c>
      <c r="AN47" s="5" t="s">
        <v>192</v>
      </c>
      <c r="AO47" s="5" t="s">
        <v>192</v>
      </c>
    </row>
    <row r="48" spans="2:68" x14ac:dyDescent="0.25">
      <c r="B48" t="s">
        <v>284</v>
      </c>
      <c r="C48" t="s">
        <v>285</v>
      </c>
      <c r="D48" t="s">
        <v>269</v>
      </c>
      <c r="F48" s="5" t="s">
        <v>192</v>
      </c>
      <c r="G48" s="5" t="s">
        <v>192</v>
      </c>
      <c r="H48" s="5" t="s">
        <v>192</v>
      </c>
      <c r="K48" s="5" t="s">
        <v>192</v>
      </c>
      <c r="N48" s="5" t="s">
        <v>192</v>
      </c>
      <c r="O48" s="5" t="s">
        <v>192</v>
      </c>
      <c r="U48" s="5" t="s">
        <v>192</v>
      </c>
      <c r="X48" s="5" t="s">
        <v>192</v>
      </c>
      <c r="Y48" s="5" t="s">
        <v>192</v>
      </c>
      <c r="Z48" s="5" t="s">
        <v>192</v>
      </c>
      <c r="AC48" s="5" t="s">
        <v>192</v>
      </c>
      <c r="AF48" s="5" t="s">
        <v>192</v>
      </c>
      <c r="AK48" s="5" t="s">
        <v>192</v>
      </c>
      <c r="AL48" s="5" t="s">
        <v>192</v>
      </c>
      <c r="AM48" s="5" t="s">
        <v>192</v>
      </c>
      <c r="AN48" s="5" t="s">
        <v>192</v>
      </c>
      <c r="AO48" s="5" t="s">
        <v>192</v>
      </c>
    </row>
    <row r="49" spans="2:90" x14ac:dyDescent="0.25">
      <c r="B49" t="s">
        <v>286</v>
      </c>
      <c r="C49" t="s">
        <v>287</v>
      </c>
      <c r="D49" t="s">
        <v>269</v>
      </c>
      <c r="F49" s="5" t="s">
        <v>192</v>
      </c>
      <c r="G49" s="5" t="s">
        <v>192</v>
      </c>
      <c r="H49" s="5" t="s">
        <v>192</v>
      </c>
      <c r="K49" s="5" t="s">
        <v>192</v>
      </c>
      <c r="N49" s="5" t="s">
        <v>192</v>
      </c>
      <c r="O49" s="5" t="s">
        <v>192</v>
      </c>
      <c r="U49" s="5" t="s">
        <v>192</v>
      </c>
      <c r="X49" s="5" t="s">
        <v>192</v>
      </c>
      <c r="Y49" s="5" t="s">
        <v>192</v>
      </c>
      <c r="Z49" s="5" t="s">
        <v>192</v>
      </c>
      <c r="AC49" s="5" t="s">
        <v>192</v>
      </c>
      <c r="AF49" s="5" t="s">
        <v>192</v>
      </c>
      <c r="AK49" s="5" t="s">
        <v>192</v>
      </c>
      <c r="AL49" s="5" t="s">
        <v>192</v>
      </c>
      <c r="AM49" s="5" t="s">
        <v>192</v>
      </c>
      <c r="AN49" s="5" t="s">
        <v>192</v>
      </c>
      <c r="AO49" s="5" t="s">
        <v>192</v>
      </c>
    </row>
    <row r="50" spans="2:90" x14ac:dyDescent="0.25">
      <c r="B50" s="6" t="s">
        <v>288</v>
      </c>
      <c r="C50" t="s">
        <v>289</v>
      </c>
      <c r="D50" t="s">
        <v>290</v>
      </c>
      <c r="F50" s="5" t="s">
        <v>192</v>
      </c>
      <c r="G50" s="5" t="s">
        <v>192</v>
      </c>
      <c r="H50" s="5" t="s">
        <v>192</v>
      </c>
      <c r="K50" s="5" t="s">
        <v>192</v>
      </c>
      <c r="N50" s="5" t="s">
        <v>192</v>
      </c>
      <c r="O50" s="5" t="s">
        <v>192</v>
      </c>
      <c r="U50" s="5" t="s">
        <v>192</v>
      </c>
      <c r="X50" s="5" t="s">
        <v>192</v>
      </c>
      <c r="Y50" s="5" t="s">
        <v>192</v>
      </c>
      <c r="Z50" s="5" t="s">
        <v>192</v>
      </c>
    </row>
    <row r="51" spans="2:90" x14ac:dyDescent="0.25">
      <c r="B51" s="6" t="s">
        <v>291</v>
      </c>
      <c r="C51" t="s">
        <v>292</v>
      </c>
      <c r="D51" t="s">
        <v>290</v>
      </c>
      <c r="F51" s="5" t="s">
        <v>192</v>
      </c>
      <c r="G51" s="5" t="s">
        <v>192</v>
      </c>
      <c r="H51" s="5" t="s">
        <v>192</v>
      </c>
      <c r="K51" s="5" t="s">
        <v>192</v>
      </c>
      <c r="N51" s="5" t="s">
        <v>192</v>
      </c>
      <c r="O51" s="5" t="s">
        <v>192</v>
      </c>
      <c r="U51" s="5" t="s">
        <v>192</v>
      </c>
      <c r="X51" s="5" t="s">
        <v>192</v>
      </c>
      <c r="Y51" s="5" t="s">
        <v>192</v>
      </c>
      <c r="Z51" s="5" t="s">
        <v>192</v>
      </c>
    </row>
    <row r="52" spans="2:90" x14ac:dyDescent="0.25">
      <c r="B52" t="s">
        <v>293</v>
      </c>
      <c r="C52" t="s">
        <v>294</v>
      </c>
      <c r="D52" t="s">
        <v>295</v>
      </c>
      <c r="F52" s="5" t="s">
        <v>192</v>
      </c>
      <c r="G52" s="5" t="s">
        <v>192</v>
      </c>
      <c r="H52" s="5" t="s">
        <v>192</v>
      </c>
      <c r="K52" s="5" t="s">
        <v>192</v>
      </c>
      <c r="N52" s="5" t="s">
        <v>192</v>
      </c>
      <c r="O52" s="5" t="s">
        <v>192</v>
      </c>
      <c r="U52" s="5" t="s">
        <v>192</v>
      </c>
      <c r="Y52" s="5" t="s">
        <v>192</v>
      </c>
      <c r="Z52" s="5" t="s">
        <v>192</v>
      </c>
      <c r="AC52" s="5" t="s">
        <v>192</v>
      </c>
      <c r="AF52" s="5" t="s">
        <v>192</v>
      </c>
      <c r="AK52" s="5" t="s">
        <v>192</v>
      </c>
      <c r="AL52" s="5" t="s">
        <v>192</v>
      </c>
      <c r="AM52" s="5" t="s">
        <v>192</v>
      </c>
      <c r="AN52" s="5" t="s">
        <v>192</v>
      </c>
      <c r="AO52" s="5" t="s">
        <v>192</v>
      </c>
    </row>
    <row r="53" spans="2:90" x14ac:dyDescent="0.25">
      <c r="B53" t="s">
        <v>296</v>
      </c>
      <c r="C53" t="s">
        <v>297</v>
      </c>
      <c r="D53" t="s">
        <v>295</v>
      </c>
      <c r="F53" s="5" t="s">
        <v>192</v>
      </c>
      <c r="G53" s="5" t="s">
        <v>192</v>
      </c>
      <c r="H53" s="5" t="s">
        <v>192</v>
      </c>
      <c r="K53" s="5" t="s">
        <v>192</v>
      </c>
      <c r="N53" s="5" t="s">
        <v>192</v>
      </c>
      <c r="O53" s="5" t="s">
        <v>192</v>
      </c>
      <c r="U53" s="5" t="s">
        <v>192</v>
      </c>
      <c r="Y53" s="5" t="s">
        <v>192</v>
      </c>
      <c r="Z53" s="5" t="s">
        <v>192</v>
      </c>
      <c r="AC53" s="5" t="s">
        <v>192</v>
      </c>
      <c r="AF53" s="5" t="s">
        <v>192</v>
      </c>
      <c r="AK53" s="5" t="s">
        <v>192</v>
      </c>
      <c r="AL53" s="5" t="s">
        <v>192</v>
      </c>
      <c r="AM53" s="5" t="s">
        <v>192</v>
      </c>
      <c r="AN53" s="5" t="s">
        <v>192</v>
      </c>
      <c r="AO53" s="5" t="s">
        <v>192</v>
      </c>
    </row>
    <row r="54" spans="2:90" x14ac:dyDescent="0.25">
      <c r="B54" t="s">
        <v>298</v>
      </c>
      <c r="C54" t="s">
        <v>299</v>
      </c>
      <c r="D54" t="s">
        <v>269</v>
      </c>
      <c r="F54" s="5" t="s">
        <v>192</v>
      </c>
      <c r="G54" s="5" t="s">
        <v>192</v>
      </c>
      <c r="H54" s="5" t="s">
        <v>192</v>
      </c>
      <c r="I54" s="5" t="s">
        <v>192</v>
      </c>
      <c r="J54" s="5" t="s">
        <v>192</v>
      </c>
      <c r="K54" s="5" t="s">
        <v>192</v>
      </c>
      <c r="L54" s="5" t="s">
        <v>192</v>
      </c>
      <c r="M54" s="5" t="s">
        <v>192</v>
      </c>
      <c r="N54" s="5" t="s">
        <v>192</v>
      </c>
      <c r="O54" s="5" t="s">
        <v>192</v>
      </c>
      <c r="P54" s="5" t="s">
        <v>192</v>
      </c>
      <c r="Q54" s="5" t="s">
        <v>192</v>
      </c>
      <c r="R54" s="5" t="s">
        <v>192</v>
      </c>
      <c r="S54" s="5" t="s">
        <v>192</v>
      </c>
      <c r="T54" s="5" t="s">
        <v>192</v>
      </c>
      <c r="U54" s="5" t="s">
        <v>192</v>
      </c>
      <c r="V54" s="5" t="s">
        <v>192</v>
      </c>
      <c r="W54" s="5" t="s">
        <v>192</v>
      </c>
      <c r="X54" s="5" t="s">
        <v>192</v>
      </c>
      <c r="Y54" s="5" t="s">
        <v>192</v>
      </c>
      <c r="Z54" s="5" t="s">
        <v>192</v>
      </c>
      <c r="AC54" s="5" t="s">
        <v>192</v>
      </c>
      <c r="AD54" s="5" t="s">
        <v>192</v>
      </c>
      <c r="AE54" s="5" t="s">
        <v>192</v>
      </c>
      <c r="AF54" s="5" t="s">
        <v>192</v>
      </c>
      <c r="AG54" s="5" t="s">
        <v>192</v>
      </c>
      <c r="AH54" s="5" t="s">
        <v>192</v>
      </c>
      <c r="AI54" s="5" t="s">
        <v>192</v>
      </c>
      <c r="AJ54" s="5" t="s">
        <v>192</v>
      </c>
      <c r="AK54" s="5" t="s">
        <v>192</v>
      </c>
      <c r="AL54" s="5" t="s">
        <v>192</v>
      </c>
      <c r="AM54" s="5" t="s">
        <v>192</v>
      </c>
      <c r="AN54" s="5" t="s">
        <v>192</v>
      </c>
      <c r="AO54" s="5" t="s">
        <v>192</v>
      </c>
      <c r="AP54" s="5" t="s">
        <v>192</v>
      </c>
      <c r="CL54" s="35" t="s">
        <v>263</v>
      </c>
    </row>
    <row r="55" spans="2:90" x14ac:dyDescent="0.25">
      <c r="B55" t="s">
        <v>300</v>
      </c>
      <c r="C55" t="s">
        <v>301</v>
      </c>
      <c r="D55" t="s">
        <v>269</v>
      </c>
      <c r="F55" s="5" t="s">
        <v>192</v>
      </c>
      <c r="G55" s="5" t="s">
        <v>192</v>
      </c>
      <c r="H55" s="5" t="s">
        <v>192</v>
      </c>
      <c r="I55" s="5" t="s">
        <v>192</v>
      </c>
      <c r="J55" s="5" t="s">
        <v>192</v>
      </c>
      <c r="K55" s="5" t="s">
        <v>192</v>
      </c>
      <c r="L55" s="5" t="s">
        <v>192</v>
      </c>
      <c r="M55" s="5" t="s">
        <v>192</v>
      </c>
      <c r="N55" s="5" t="s">
        <v>192</v>
      </c>
      <c r="O55" s="5" t="s">
        <v>192</v>
      </c>
      <c r="P55" s="5" t="s">
        <v>192</v>
      </c>
      <c r="Q55" s="5" t="s">
        <v>192</v>
      </c>
      <c r="R55" s="5" t="s">
        <v>192</v>
      </c>
      <c r="S55" s="5" t="s">
        <v>192</v>
      </c>
      <c r="T55" s="5" t="s">
        <v>192</v>
      </c>
      <c r="U55" s="5" t="s">
        <v>192</v>
      </c>
      <c r="V55" s="5" t="s">
        <v>192</v>
      </c>
      <c r="W55" s="5" t="s">
        <v>192</v>
      </c>
      <c r="X55" s="5" t="s">
        <v>192</v>
      </c>
      <c r="Y55" s="5" t="s">
        <v>192</v>
      </c>
      <c r="Z55" s="5" t="s">
        <v>192</v>
      </c>
      <c r="AC55" s="5" t="s">
        <v>192</v>
      </c>
      <c r="AD55" s="5" t="s">
        <v>192</v>
      </c>
      <c r="AE55" s="5" t="s">
        <v>192</v>
      </c>
      <c r="AF55" s="5" t="s">
        <v>192</v>
      </c>
      <c r="AG55" s="5" t="s">
        <v>192</v>
      </c>
      <c r="AH55" s="5" t="s">
        <v>192</v>
      </c>
      <c r="AI55" s="5" t="s">
        <v>192</v>
      </c>
      <c r="AJ55" s="5" t="s">
        <v>192</v>
      </c>
      <c r="AK55" s="5" t="s">
        <v>192</v>
      </c>
      <c r="AL55" s="5" t="s">
        <v>192</v>
      </c>
      <c r="AM55" s="5" t="s">
        <v>192</v>
      </c>
      <c r="AN55" s="5" t="s">
        <v>192</v>
      </c>
      <c r="AO55" s="5" t="s">
        <v>192</v>
      </c>
      <c r="AP55" s="5" t="s">
        <v>192</v>
      </c>
    </row>
    <row r="56" spans="2:90" x14ac:dyDescent="0.25">
      <c r="B56" t="s">
        <v>302</v>
      </c>
      <c r="C56" t="s">
        <v>303</v>
      </c>
      <c r="D56" t="s">
        <v>269</v>
      </c>
      <c r="F56" s="5" t="s">
        <v>192</v>
      </c>
      <c r="G56" s="5" t="s">
        <v>192</v>
      </c>
      <c r="H56" s="5" t="s">
        <v>192</v>
      </c>
      <c r="I56" s="5" t="s">
        <v>192</v>
      </c>
      <c r="J56" s="5" t="s">
        <v>192</v>
      </c>
      <c r="K56" s="5" t="s">
        <v>192</v>
      </c>
      <c r="L56" s="5" t="s">
        <v>192</v>
      </c>
      <c r="M56" s="5" t="s">
        <v>192</v>
      </c>
      <c r="N56" s="5" t="s">
        <v>192</v>
      </c>
      <c r="O56" s="5" t="s">
        <v>192</v>
      </c>
      <c r="P56" s="5" t="s">
        <v>192</v>
      </c>
      <c r="Q56" s="5" t="s">
        <v>192</v>
      </c>
      <c r="R56" s="5" t="s">
        <v>192</v>
      </c>
      <c r="S56" s="5" t="s">
        <v>192</v>
      </c>
      <c r="T56" s="5" t="s">
        <v>192</v>
      </c>
      <c r="U56" s="5" t="s">
        <v>192</v>
      </c>
      <c r="V56" s="5" t="s">
        <v>192</v>
      </c>
      <c r="W56" s="5" t="s">
        <v>192</v>
      </c>
      <c r="X56" s="5" t="s">
        <v>192</v>
      </c>
      <c r="Y56" s="5" t="s">
        <v>192</v>
      </c>
      <c r="Z56" s="5" t="s">
        <v>192</v>
      </c>
      <c r="AC56" s="5" t="s">
        <v>192</v>
      </c>
      <c r="AD56" s="5" t="s">
        <v>192</v>
      </c>
      <c r="AE56" s="5" t="s">
        <v>192</v>
      </c>
      <c r="AF56" s="5" t="s">
        <v>192</v>
      </c>
      <c r="AG56" s="5" t="s">
        <v>192</v>
      </c>
      <c r="AH56" s="5" t="s">
        <v>192</v>
      </c>
      <c r="AI56" s="5" t="s">
        <v>192</v>
      </c>
      <c r="AJ56" s="5" t="s">
        <v>192</v>
      </c>
      <c r="AK56" s="5" t="s">
        <v>192</v>
      </c>
      <c r="AL56" s="5" t="s">
        <v>192</v>
      </c>
      <c r="AM56" s="5" t="s">
        <v>192</v>
      </c>
      <c r="AN56" s="5" t="s">
        <v>192</v>
      </c>
      <c r="AO56" s="5" t="s">
        <v>192</v>
      </c>
      <c r="CL56" s="35" t="s">
        <v>263</v>
      </c>
    </row>
    <row r="57" spans="2:90" x14ac:dyDescent="0.25">
      <c r="B57" t="s">
        <v>304</v>
      </c>
      <c r="C57" t="s">
        <v>305</v>
      </c>
      <c r="D57" t="s">
        <v>269</v>
      </c>
      <c r="F57" s="5" t="s">
        <v>192</v>
      </c>
      <c r="G57" s="5" t="s">
        <v>192</v>
      </c>
      <c r="H57" s="5" t="s">
        <v>192</v>
      </c>
      <c r="I57" s="5" t="s">
        <v>192</v>
      </c>
      <c r="J57" s="5" t="s">
        <v>192</v>
      </c>
      <c r="K57" s="5" t="s">
        <v>192</v>
      </c>
      <c r="L57" s="5" t="s">
        <v>192</v>
      </c>
      <c r="M57" s="5" t="s">
        <v>192</v>
      </c>
      <c r="N57" s="5" t="s">
        <v>192</v>
      </c>
      <c r="O57" s="5" t="s">
        <v>192</v>
      </c>
      <c r="P57" s="5" t="s">
        <v>192</v>
      </c>
      <c r="Q57" s="5" t="s">
        <v>192</v>
      </c>
      <c r="R57" s="5" t="s">
        <v>192</v>
      </c>
      <c r="S57" s="5" t="s">
        <v>192</v>
      </c>
      <c r="T57" s="5" t="s">
        <v>192</v>
      </c>
      <c r="U57" s="5" t="s">
        <v>192</v>
      </c>
      <c r="V57" s="5" t="s">
        <v>192</v>
      </c>
      <c r="W57" s="5" t="s">
        <v>192</v>
      </c>
      <c r="X57" s="5" t="s">
        <v>192</v>
      </c>
      <c r="Y57" s="5" t="s">
        <v>192</v>
      </c>
      <c r="Z57" s="5" t="s">
        <v>192</v>
      </c>
      <c r="AC57" s="5" t="s">
        <v>192</v>
      </c>
      <c r="AD57" s="5" t="s">
        <v>192</v>
      </c>
      <c r="AE57" s="5" t="s">
        <v>192</v>
      </c>
      <c r="AF57" s="5" t="s">
        <v>192</v>
      </c>
      <c r="AG57" s="5" t="s">
        <v>192</v>
      </c>
      <c r="AH57" s="5" t="s">
        <v>192</v>
      </c>
      <c r="AI57" s="5" t="s">
        <v>192</v>
      </c>
      <c r="AJ57" s="5" t="s">
        <v>192</v>
      </c>
      <c r="AK57" s="5" t="s">
        <v>192</v>
      </c>
      <c r="AL57" s="5" t="s">
        <v>192</v>
      </c>
      <c r="AM57" s="5" t="s">
        <v>192</v>
      </c>
      <c r="AN57" s="5" t="s">
        <v>192</v>
      </c>
      <c r="AO57" s="5" t="s">
        <v>192</v>
      </c>
    </row>
    <row r="58" spans="2:90" x14ac:dyDescent="0.25">
      <c r="B58" t="s">
        <v>306</v>
      </c>
      <c r="C58" t="s">
        <v>307</v>
      </c>
      <c r="D58" t="s">
        <v>269</v>
      </c>
      <c r="F58" s="5" t="s">
        <v>192</v>
      </c>
      <c r="G58" s="5" t="s">
        <v>192</v>
      </c>
      <c r="H58" s="5" t="s">
        <v>192</v>
      </c>
      <c r="K58" s="5" t="s">
        <v>192</v>
      </c>
      <c r="N58" s="5" t="s">
        <v>192</v>
      </c>
      <c r="O58" s="5" t="s">
        <v>192</v>
      </c>
      <c r="U58" s="5" t="s">
        <v>192</v>
      </c>
      <c r="X58" s="5" t="s">
        <v>192</v>
      </c>
      <c r="Y58" s="5" t="s">
        <v>192</v>
      </c>
      <c r="Z58" s="5" t="s">
        <v>192</v>
      </c>
      <c r="AC58" s="5" t="s">
        <v>192</v>
      </c>
      <c r="AF58" s="5" t="s">
        <v>192</v>
      </c>
      <c r="AK58" s="5" t="s">
        <v>192</v>
      </c>
      <c r="AL58" s="5" t="s">
        <v>192</v>
      </c>
      <c r="AM58" s="5" t="s">
        <v>192</v>
      </c>
      <c r="AN58" s="5" t="s">
        <v>192</v>
      </c>
      <c r="AO58" s="5" t="s">
        <v>192</v>
      </c>
      <c r="CL58" s="35" t="s">
        <v>263</v>
      </c>
    </row>
    <row r="59" spans="2:90" x14ac:dyDescent="0.25">
      <c r="B59" s="6" t="s">
        <v>308</v>
      </c>
      <c r="C59" t="s">
        <v>309</v>
      </c>
      <c r="D59" t="s">
        <v>266</v>
      </c>
      <c r="AC59" s="5" t="s">
        <v>192</v>
      </c>
      <c r="AF59" s="5" t="s">
        <v>192</v>
      </c>
      <c r="AK59" s="5" t="s">
        <v>192</v>
      </c>
      <c r="AM59" s="5" t="s">
        <v>192</v>
      </c>
      <c r="AN59" s="5" t="s">
        <v>192</v>
      </c>
    </row>
    <row r="60" spans="2:90" x14ac:dyDescent="0.25">
      <c r="B60" t="s">
        <v>310</v>
      </c>
      <c r="C60" t="s">
        <v>311</v>
      </c>
      <c r="D60" t="s">
        <v>269</v>
      </c>
      <c r="F60" s="5" t="s">
        <v>192</v>
      </c>
      <c r="G60" s="5" t="s">
        <v>192</v>
      </c>
      <c r="H60" s="5" t="s">
        <v>192</v>
      </c>
      <c r="K60" s="5" t="s">
        <v>192</v>
      </c>
      <c r="N60" s="5" t="s">
        <v>192</v>
      </c>
      <c r="O60" s="5" t="s">
        <v>192</v>
      </c>
      <c r="U60" s="5" t="s">
        <v>192</v>
      </c>
      <c r="X60" s="5" t="s">
        <v>192</v>
      </c>
      <c r="Y60" s="5" t="s">
        <v>192</v>
      </c>
      <c r="Z60" s="5" t="s">
        <v>192</v>
      </c>
      <c r="AC60" s="5" t="s">
        <v>192</v>
      </c>
      <c r="AF60" s="5" t="s">
        <v>192</v>
      </c>
      <c r="AK60" s="5" t="s">
        <v>192</v>
      </c>
      <c r="AL60" s="5" t="s">
        <v>192</v>
      </c>
      <c r="AM60" s="5" t="s">
        <v>192</v>
      </c>
      <c r="AN60" s="5" t="s">
        <v>192</v>
      </c>
      <c r="AO60" s="5" t="s">
        <v>192</v>
      </c>
    </row>
    <row r="61" spans="2:90" x14ac:dyDescent="0.25">
      <c r="B61" t="s">
        <v>312</v>
      </c>
      <c r="C61" t="s">
        <v>313</v>
      </c>
      <c r="D61" t="s">
        <v>314</v>
      </c>
      <c r="AC61" s="5" t="s">
        <v>192</v>
      </c>
      <c r="AF61" s="5" t="s">
        <v>192</v>
      </c>
      <c r="AK61" s="5" t="s">
        <v>192</v>
      </c>
      <c r="AL61" s="5" t="s">
        <v>192</v>
      </c>
      <c r="AM61" s="5" t="s">
        <v>192</v>
      </c>
    </row>
    <row r="62" spans="2:90" x14ac:dyDescent="0.25">
      <c r="B62" t="s">
        <v>315</v>
      </c>
      <c r="C62" t="s">
        <v>316</v>
      </c>
      <c r="D62" t="s">
        <v>269</v>
      </c>
      <c r="F62" s="5" t="s">
        <v>192</v>
      </c>
      <c r="G62" s="5" t="s">
        <v>192</v>
      </c>
      <c r="H62" s="5" t="s">
        <v>192</v>
      </c>
      <c r="K62" s="5" t="s">
        <v>192</v>
      </c>
      <c r="N62" s="5" t="s">
        <v>192</v>
      </c>
      <c r="O62" s="5" t="s">
        <v>192</v>
      </c>
      <c r="U62" s="5" t="s">
        <v>192</v>
      </c>
      <c r="Y62" s="5" t="s">
        <v>192</v>
      </c>
      <c r="Z62" s="5" t="s">
        <v>192</v>
      </c>
      <c r="AO62" s="5" t="s">
        <v>192</v>
      </c>
      <c r="AP62" s="5" t="s">
        <v>192</v>
      </c>
      <c r="AQ62" s="5" t="s">
        <v>192</v>
      </c>
    </row>
    <row r="63" spans="2:90" x14ac:dyDescent="0.25">
      <c r="B63" t="s">
        <v>317</v>
      </c>
      <c r="C63" t="s">
        <v>318</v>
      </c>
      <c r="D63" t="s">
        <v>269</v>
      </c>
      <c r="F63" s="5" t="s">
        <v>192</v>
      </c>
      <c r="G63" s="5" t="s">
        <v>192</v>
      </c>
      <c r="H63" s="5" t="s">
        <v>192</v>
      </c>
      <c r="K63" s="5" t="s">
        <v>192</v>
      </c>
      <c r="N63" s="5" t="s">
        <v>192</v>
      </c>
      <c r="O63" s="5" t="s">
        <v>192</v>
      </c>
      <c r="U63" s="5" t="s">
        <v>192</v>
      </c>
      <c r="Y63" s="5" t="s">
        <v>192</v>
      </c>
      <c r="Z63" s="5" t="s">
        <v>192</v>
      </c>
      <c r="AO63" s="5" t="s">
        <v>192</v>
      </c>
      <c r="AP63" s="5" t="s">
        <v>192</v>
      </c>
      <c r="AQ63" s="5" t="s">
        <v>192</v>
      </c>
    </row>
    <row r="64" spans="2:90" x14ac:dyDescent="0.25">
      <c r="B64" t="s">
        <v>319</v>
      </c>
      <c r="C64" t="s">
        <v>320</v>
      </c>
      <c r="D64" t="s">
        <v>269</v>
      </c>
      <c r="F64" s="5" t="s">
        <v>192</v>
      </c>
      <c r="G64" s="5" t="s">
        <v>192</v>
      </c>
      <c r="H64" s="5" t="s">
        <v>192</v>
      </c>
      <c r="K64" s="5" t="s">
        <v>192</v>
      </c>
      <c r="N64" s="5" t="s">
        <v>192</v>
      </c>
      <c r="O64" s="5" t="s">
        <v>192</v>
      </c>
      <c r="U64" s="5" t="s">
        <v>192</v>
      </c>
      <c r="Y64" s="5" t="s">
        <v>192</v>
      </c>
      <c r="Z64" s="5" t="s">
        <v>192</v>
      </c>
      <c r="AO64" s="5" t="s">
        <v>192</v>
      </c>
      <c r="AP64" s="5" t="s">
        <v>192</v>
      </c>
      <c r="AQ64" s="5" t="s">
        <v>192</v>
      </c>
    </row>
    <row r="65" spans="2:80" x14ac:dyDescent="0.25">
      <c r="B65" t="s">
        <v>321</v>
      </c>
      <c r="C65" t="s">
        <v>322</v>
      </c>
      <c r="D65" t="s">
        <v>269</v>
      </c>
      <c r="F65" s="5" t="s">
        <v>192</v>
      </c>
      <c r="G65" s="5" t="s">
        <v>192</v>
      </c>
      <c r="H65" s="5" t="s">
        <v>192</v>
      </c>
      <c r="K65" s="5" t="s">
        <v>192</v>
      </c>
      <c r="N65" s="5" t="s">
        <v>192</v>
      </c>
      <c r="O65" s="5" t="s">
        <v>192</v>
      </c>
      <c r="U65" s="5" t="s">
        <v>192</v>
      </c>
      <c r="Y65" s="5" t="s">
        <v>192</v>
      </c>
      <c r="Z65" s="5" t="s">
        <v>192</v>
      </c>
      <c r="AO65" s="5" t="s">
        <v>192</v>
      </c>
      <c r="AP65" s="5" t="s">
        <v>192</v>
      </c>
      <c r="AQ65" s="5" t="s">
        <v>192</v>
      </c>
    </row>
    <row r="66" spans="2:80" x14ac:dyDescent="0.25">
      <c r="B66" t="s">
        <v>323</v>
      </c>
      <c r="C66" t="s">
        <v>324</v>
      </c>
      <c r="D66" t="s">
        <v>269</v>
      </c>
      <c r="F66" s="5" t="s">
        <v>192</v>
      </c>
      <c r="G66" s="5" t="s">
        <v>192</v>
      </c>
      <c r="H66" s="5" t="s">
        <v>192</v>
      </c>
      <c r="K66" s="5" t="s">
        <v>192</v>
      </c>
      <c r="N66" s="5" t="s">
        <v>192</v>
      </c>
      <c r="O66" s="5" t="s">
        <v>192</v>
      </c>
      <c r="U66" s="5" t="s">
        <v>192</v>
      </c>
      <c r="Y66" s="5" t="s">
        <v>192</v>
      </c>
      <c r="Z66" s="5" t="s">
        <v>192</v>
      </c>
      <c r="AO66" s="5" t="s">
        <v>192</v>
      </c>
      <c r="AP66" s="5" t="s">
        <v>192</v>
      </c>
      <c r="AQ66" s="5" t="s">
        <v>192</v>
      </c>
    </row>
    <row r="67" spans="2:80" x14ac:dyDescent="0.25">
      <c r="B67" t="s">
        <v>325</v>
      </c>
      <c r="C67" t="s">
        <v>326</v>
      </c>
      <c r="D67" t="s">
        <v>269</v>
      </c>
      <c r="F67" s="5" t="s">
        <v>192</v>
      </c>
      <c r="G67" s="5" t="s">
        <v>192</v>
      </c>
      <c r="H67" s="5" t="s">
        <v>192</v>
      </c>
      <c r="K67" s="5" t="s">
        <v>192</v>
      </c>
      <c r="N67" s="5" t="s">
        <v>192</v>
      </c>
      <c r="O67" s="5" t="s">
        <v>192</v>
      </c>
      <c r="U67" s="5" t="s">
        <v>192</v>
      </c>
      <c r="Y67" s="5" t="s">
        <v>192</v>
      </c>
      <c r="Z67" s="5" t="s">
        <v>192</v>
      </c>
      <c r="AO67" s="5" t="s">
        <v>192</v>
      </c>
      <c r="AP67" s="5" t="s">
        <v>192</v>
      </c>
      <c r="AQ67" s="5" t="s">
        <v>192</v>
      </c>
    </row>
    <row r="68" spans="2:80" x14ac:dyDescent="0.25">
      <c r="B68" t="s">
        <v>327</v>
      </c>
      <c r="C68" t="s">
        <v>328</v>
      </c>
      <c r="D68" t="s">
        <v>269</v>
      </c>
      <c r="F68" s="5" t="s">
        <v>192</v>
      </c>
      <c r="G68" s="5" t="s">
        <v>192</v>
      </c>
      <c r="H68" s="5" t="s">
        <v>192</v>
      </c>
      <c r="K68" s="5" t="s">
        <v>192</v>
      </c>
      <c r="N68" s="5" t="s">
        <v>192</v>
      </c>
      <c r="O68" s="5" t="s">
        <v>192</v>
      </c>
      <c r="U68" s="5" t="s">
        <v>192</v>
      </c>
      <c r="Y68" s="5" t="s">
        <v>192</v>
      </c>
      <c r="Z68" s="5" t="s">
        <v>192</v>
      </c>
      <c r="AO68" s="5" t="s">
        <v>192</v>
      </c>
      <c r="AP68" s="5" t="s">
        <v>192</v>
      </c>
      <c r="AQ68" s="5" t="s">
        <v>192</v>
      </c>
    </row>
    <row r="69" spans="2:80" x14ac:dyDescent="0.25">
      <c r="B69" t="s">
        <v>329</v>
      </c>
      <c r="C69" t="s">
        <v>330</v>
      </c>
      <c r="D69" t="s">
        <v>269</v>
      </c>
      <c r="F69" s="5" t="s">
        <v>192</v>
      </c>
      <c r="G69" s="5" t="s">
        <v>192</v>
      </c>
      <c r="H69" s="5" t="s">
        <v>192</v>
      </c>
      <c r="K69" s="5" t="s">
        <v>192</v>
      </c>
      <c r="N69" s="5" t="s">
        <v>192</v>
      </c>
      <c r="O69" s="5" t="s">
        <v>192</v>
      </c>
      <c r="U69" s="5" t="s">
        <v>192</v>
      </c>
      <c r="Y69" s="5" t="s">
        <v>192</v>
      </c>
      <c r="Z69" s="5" t="s">
        <v>192</v>
      </c>
      <c r="AO69" s="5" t="s">
        <v>192</v>
      </c>
      <c r="AP69" s="5" t="s">
        <v>192</v>
      </c>
      <c r="AQ69" s="5" t="s">
        <v>192</v>
      </c>
    </row>
    <row r="70" spans="2:80" x14ac:dyDescent="0.25">
      <c r="B70" t="s">
        <v>331</v>
      </c>
      <c r="C70" t="s">
        <v>332</v>
      </c>
      <c r="D70" t="s">
        <v>269</v>
      </c>
      <c r="F70" s="5" t="s">
        <v>192</v>
      </c>
      <c r="G70" s="5" t="s">
        <v>192</v>
      </c>
      <c r="H70" s="5" t="s">
        <v>192</v>
      </c>
      <c r="K70" s="5" t="s">
        <v>192</v>
      </c>
      <c r="N70" s="5" t="s">
        <v>192</v>
      </c>
      <c r="O70" s="5" t="s">
        <v>192</v>
      </c>
      <c r="U70" s="5" t="s">
        <v>192</v>
      </c>
      <c r="Y70" s="5" t="s">
        <v>192</v>
      </c>
      <c r="Z70" s="5" t="s">
        <v>192</v>
      </c>
      <c r="AO70" s="5" t="s">
        <v>192</v>
      </c>
      <c r="AP70" s="5" t="s">
        <v>192</v>
      </c>
      <c r="AQ70" s="5" t="s">
        <v>192</v>
      </c>
    </row>
    <row r="71" spans="2:80" x14ac:dyDescent="0.25">
      <c r="B71" t="s">
        <v>333</v>
      </c>
      <c r="C71" t="s">
        <v>334</v>
      </c>
      <c r="D71" t="s">
        <v>269</v>
      </c>
      <c r="F71" s="5" t="s">
        <v>192</v>
      </c>
      <c r="G71" s="5" t="s">
        <v>192</v>
      </c>
      <c r="H71" s="5" t="s">
        <v>192</v>
      </c>
      <c r="K71" s="5" t="s">
        <v>192</v>
      </c>
      <c r="N71" s="5" t="s">
        <v>192</v>
      </c>
      <c r="O71" s="5" t="s">
        <v>192</v>
      </c>
      <c r="U71" s="5" t="s">
        <v>192</v>
      </c>
      <c r="Y71" s="5" t="s">
        <v>192</v>
      </c>
      <c r="Z71" s="5" t="s">
        <v>192</v>
      </c>
      <c r="AO71" s="5" t="s">
        <v>192</v>
      </c>
      <c r="AP71" s="5" t="s">
        <v>192</v>
      </c>
      <c r="AQ71" s="5" t="s">
        <v>192</v>
      </c>
    </row>
    <row r="72" spans="2:80" x14ac:dyDescent="0.25">
      <c r="B72" t="s">
        <v>335</v>
      </c>
      <c r="C72" t="s">
        <v>336</v>
      </c>
      <c r="D72" t="s">
        <v>269</v>
      </c>
      <c r="F72" s="5" t="s">
        <v>192</v>
      </c>
      <c r="G72" s="5" t="s">
        <v>192</v>
      </c>
      <c r="H72" s="5" t="s">
        <v>192</v>
      </c>
      <c r="K72" s="5" t="s">
        <v>192</v>
      </c>
      <c r="N72" s="5" t="s">
        <v>192</v>
      </c>
      <c r="O72" s="5" t="s">
        <v>192</v>
      </c>
      <c r="U72" s="5" t="s">
        <v>192</v>
      </c>
      <c r="Y72" s="5" t="s">
        <v>192</v>
      </c>
      <c r="Z72" s="5" t="s">
        <v>192</v>
      </c>
      <c r="AO72" s="5" t="s">
        <v>192</v>
      </c>
      <c r="AP72" s="5" t="s">
        <v>192</v>
      </c>
      <c r="AQ72" s="5" t="s">
        <v>192</v>
      </c>
    </row>
    <row r="73" spans="2:80" x14ac:dyDescent="0.25">
      <c r="B73" t="s">
        <v>337</v>
      </c>
      <c r="C73" t="s">
        <v>338</v>
      </c>
      <c r="D73" t="s">
        <v>269</v>
      </c>
      <c r="F73" s="5" t="s">
        <v>192</v>
      </c>
      <c r="G73" s="5" t="s">
        <v>192</v>
      </c>
      <c r="H73" s="5" t="s">
        <v>192</v>
      </c>
      <c r="K73" s="5" t="s">
        <v>192</v>
      </c>
      <c r="N73" s="5" t="s">
        <v>192</v>
      </c>
      <c r="O73" s="5" t="s">
        <v>192</v>
      </c>
      <c r="U73" s="5" t="s">
        <v>192</v>
      </c>
      <c r="Y73" s="5" t="s">
        <v>192</v>
      </c>
      <c r="Z73" s="5" t="s">
        <v>192</v>
      </c>
      <c r="AO73" s="5" t="s">
        <v>192</v>
      </c>
      <c r="AP73" s="5" t="s">
        <v>192</v>
      </c>
      <c r="AQ73" s="5" t="s">
        <v>192</v>
      </c>
    </row>
    <row r="74" spans="2:80" x14ac:dyDescent="0.25">
      <c r="B74" s="12" t="s">
        <v>339</v>
      </c>
      <c r="C74" s="12" t="s">
        <v>340</v>
      </c>
      <c r="D74" s="12" t="s">
        <v>341</v>
      </c>
      <c r="E74" s="5" t="s">
        <v>192</v>
      </c>
      <c r="F74" s="5" t="s">
        <v>192</v>
      </c>
      <c r="G74" s="5" t="s">
        <v>192</v>
      </c>
      <c r="H74" s="5" t="s">
        <v>192</v>
      </c>
      <c r="K74" s="5" t="s">
        <v>192</v>
      </c>
      <c r="N74" s="5" t="s">
        <v>192</v>
      </c>
      <c r="O74" s="5" t="s">
        <v>192</v>
      </c>
      <c r="U74" s="5" t="s">
        <v>192</v>
      </c>
      <c r="X74" s="5" t="s">
        <v>192</v>
      </c>
      <c r="Y74" s="5" t="s">
        <v>192</v>
      </c>
      <c r="Z74" s="5" t="s">
        <v>192</v>
      </c>
      <c r="AC74" s="5" t="s">
        <v>192</v>
      </c>
      <c r="AF74" s="5" t="s">
        <v>192</v>
      </c>
      <c r="AK74" s="5" t="s">
        <v>192</v>
      </c>
      <c r="AL74" s="5" t="s">
        <v>192</v>
      </c>
      <c r="AM74" s="5" t="s">
        <v>192</v>
      </c>
      <c r="AO74" s="5" t="s">
        <v>192</v>
      </c>
      <c r="AP74" s="5" t="s">
        <v>192</v>
      </c>
      <c r="AQ74" s="5" t="s">
        <v>192</v>
      </c>
      <c r="AR74" s="5" t="s">
        <v>192</v>
      </c>
      <c r="BP74" s="5" t="s">
        <v>192</v>
      </c>
      <c r="BQ74" s="5" t="s">
        <v>192</v>
      </c>
      <c r="BS74" s="5" t="s">
        <v>192</v>
      </c>
      <c r="BT74" s="5" t="s">
        <v>192</v>
      </c>
      <c r="BU74" s="5" t="s">
        <v>192</v>
      </c>
      <c r="BV74" s="5" t="s">
        <v>192</v>
      </c>
      <c r="BW74" s="5" t="s">
        <v>192</v>
      </c>
      <c r="BX74" s="5" t="s">
        <v>192</v>
      </c>
      <c r="BY74" s="5" t="s">
        <v>192</v>
      </c>
      <c r="BZ74" s="5" t="s">
        <v>192</v>
      </c>
      <c r="CA74" s="5" t="s">
        <v>192</v>
      </c>
      <c r="CB74" s="5" t="s">
        <v>192</v>
      </c>
    </row>
    <row r="75" spans="2:80" x14ac:dyDescent="0.25">
      <c r="B75" s="12" t="s">
        <v>342</v>
      </c>
      <c r="C75" s="12" t="s">
        <v>343</v>
      </c>
      <c r="D75" s="12" t="s">
        <v>341</v>
      </c>
      <c r="E75" s="5" t="s">
        <v>192</v>
      </c>
      <c r="X75" s="5" t="s">
        <v>192</v>
      </c>
      <c r="AR75" s="5" t="s">
        <v>192</v>
      </c>
      <c r="BP75" s="5" t="s">
        <v>192</v>
      </c>
      <c r="BQ75" s="5" t="s">
        <v>192</v>
      </c>
      <c r="BS75" s="5" t="s">
        <v>192</v>
      </c>
      <c r="BT75" s="5" t="s">
        <v>192</v>
      </c>
      <c r="BU75" s="5" t="s">
        <v>192</v>
      </c>
      <c r="BV75" s="5" t="s">
        <v>192</v>
      </c>
    </row>
    <row r="76" spans="2:80" x14ac:dyDescent="0.25">
      <c r="B76" s="12" t="s">
        <v>344</v>
      </c>
      <c r="C76" s="12" t="s">
        <v>345</v>
      </c>
      <c r="D76" s="12" t="s">
        <v>341</v>
      </c>
      <c r="E76" s="5" t="s">
        <v>192</v>
      </c>
      <c r="F76" s="5" t="s">
        <v>192</v>
      </c>
      <c r="Z76" s="5" t="s">
        <v>192</v>
      </c>
      <c r="AC76" s="5" t="s">
        <v>192</v>
      </c>
      <c r="AF76" s="5" t="s">
        <v>192</v>
      </c>
      <c r="AK76" s="5" t="s">
        <v>192</v>
      </c>
      <c r="AL76" s="5" t="s">
        <v>192</v>
      </c>
      <c r="AM76" s="5" t="s">
        <v>192</v>
      </c>
      <c r="AO76" s="5" t="s">
        <v>192</v>
      </c>
      <c r="BP76" s="5" t="s">
        <v>192</v>
      </c>
      <c r="BV76" s="5" t="s">
        <v>192</v>
      </c>
      <c r="BW76" s="5" t="s">
        <v>192</v>
      </c>
      <c r="BZ76" s="5" t="s">
        <v>192</v>
      </c>
      <c r="CA76" s="5" t="s">
        <v>192</v>
      </c>
    </row>
    <row r="77" spans="2:80" x14ac:dyDescent="0.25">
      <c r="B77" s="12" t="s">
        <v>346</v>
      </c>
      <c r="C77" s="12" t="s">
        <v>347</v>
      </c>
      <c r="D77" s="12" t="s">
        <v>341</v>
      </c>
      <c r="E77" s="5" t="s">
        <v>192</v>
      </c>
      <c r="F77" s="5" t="s">
        <v>192</v>
      </c>
      <c r="G77" s="5" t="s">
        <v>192</v>
      </c>
      <c r="H77" s="5" t="s">
        <v>192</v>
      </c>
      <c r="K77" s="5" t="s">
        <v>192</v>
      </c>
      <c r="N77" s="5" t="s">
        <v>192</v>
      </c>
      <c r="O77" s="5" t="s">
        <v>192</v>
      </c>
      <c r="U77" s="5" t="s">
        <v>192</v>
      </c>
      <c r="X77" s="5" t="s">
        <v>192</v>
      </c>
      <c r="Y77" s="5" t="s">
        <v>192</v>
      </c>
      <c r="Z77" s="5" t="s">
        <v>192</v>
      </c>
      <c r="AC77" s="5" t="s">
        <v>192</v>
      </c>
      <c r="AF77" s="5" t="s">
        <v>192</v>
      </c>
      <c r="AK77" s="5" t="s">
        <v>192</v>
      </c>
      <c r="AL77" s="5" t="s">
        <v>192</v>
      </c>
      <c r="AM77" s="5" t="s">
        <v>192</v>
      </c>
      <c r="AO77" s="5" t="s">
        <v>192</v>
      </c>
      <c r="AP77" s="5" t="s">
        <v>192</v>
      </c>
      <c r="AQ77" s="5" t="s">
        <v>192</v>
      </c>
      <c r="BP77" s="5" t="s">
        <v>192</v>
      </c>
      <c r="BV77" s="5" t="s">
        <v>192</v>
      </c>
      <c r="BX77" s="5" t="s">
        <v>192</v>
      </c>
      <c r="BY77" s="5" t="s">
        <v>192</v>
      </c>
      <c r="BZ77" s="5" t="s">
        <v>192</v>
      </c>
      <c r="CB77" s="5" t="s">
        <v>192</v>
      </c>
    </row>
    <row r="78" spans="2:80" x14ac:dyDescent="0.25">
      <c r="B78" s="12" t="s">
        <v>348</v>
      </c>
      <c r="C78" s="12" t="s">
        <v>345</v>
      </c>
      <c r="D78" s="12" t="s">
        <v>349</v>
      </c>
      <c r="E78" s="5" t="s">
        <v>192</v>
      </c>
      <c r="F78" s="5" t="s">
        <v>192</v>
      </c>
      <c r="Z78" s="5" t="s">
        <v>192</v>
      </c>
      <c r="AC78" s="5" t="s">
        <v>192</v>
      </c>
      <c r="AF78" s="5" t="s">
        <v>192</v>
      </c>
      <c r="AK78" s="5" t="s">
        <v>192</v>
      </c>
      <c r="AL78" s="5" t="s">
        <v>192</v>
      </c>
      <c r="AM78" s="5" t="s">
        <v>192</v>
      </c>
      <c r="AO78" s="5" t="s">
        <v>192</v>
      </c>
      <c r="BP78" s="5" t="s">
        <v>192</v>
      </c>
      <c r="BV78" s="5" t="s">
        <v>192</v>
      </c>
      <c r="BW78" s="5" t="s">
        <v>192</v>
      </c>
      <c r="BZ78" s="5" t="s">
        <v>192</v>
      </c>
      <c r="CA78" s="5" t="s">
        <v>192</v>
      </c>
    </row>
    <row r="79" spans="2:80" x14ac:dyDescent="0.25">
      <c r="B79" s="12" t="s">
        <v>350</v>
      </c>
      <c r="C79" s="12" t="s">
        <v>347</v>
      </c>
      <c r="D79" s="12" t="s">
        <v>351</v>
      </c>
      <c r="E79" s="5" t="s">
        <v>192</v>
      </c>
      <c r="F79" s="5" t="s">
        <v>192</v>
      </c>
      <c r="G79" s="5" t="s">
        <v>192</v>
      </c>
      <c r="H79" s="5" t="s">
        <v>192</v>
      </c>
      <c r="K79" s="5" t="s">
        <v>192</v>
      </c>
      <c r="N79" s="5" t="s">
        <v>192</v>
      </c>
      <c r="O79" s="5" t="s">
        <v>192</v>
      </c>
      <c r="U79" s="5" t="s">
        <v>192</v>
      </c>
      <c r="X79" s="5" t="s">
        <v>192</v>
      </c>
      <c r="Y79" s="5" t="s">
        <v>192</v>
      </c>
      <c r="Z79" s="5" t="s">
        <v>192</v>
      </c>
      <c r="AC79" s="5" t="s">
        <v>192</v>
      </c>
      <c r="AF79" s="5" t="s">
        <v>192</v>
      </c>
      <c r="AK79" s="5" t="s">
        <v>192</v>
      </c>
      <c r="AL79" s="5" t="s">
        <v>192</v>
      </c>
      <c r="AM79" s="5" t="s">
        <v>192</v>
      </c>
      <c r="AO79" s="5" t="s">
        <v>192</v>
      </c>
      <c r="AP79" s="5" t="s">
        <v>192</v>
      </c>
      <c r="AQ79" s="5" t="s">
        <v>192</v>
      </c>
      <c r="BP79" s="5" t="s">
        <v>192</v>
      </c>
      <c r="BV79" s="5" t="s">
        <v>192</v>
      </c>
      <c r="BX79" s="5" t="s">
        <v>192</v>
      </c>
      <c r="BY79" s="5" t="s">
        <v>192</v>
      </c>
      <c r="BZ79" s="5" t="s">
        <v>192</v>
      </c>
      <c r="CB79" s="5" t="s">
        <v>192</v>
      </c>
    </row>
    <row r="80" spans="2:80" x14ac:dyDescent="0.25">
      <c r="B80" s="12" t="s">
        <v>352</v>
      </c>
      <c r="C80" s="12" t="s">
        <v>353</v>
      </c>
      <c r="D80" s="12" t="s">
        <v>354</v>
      </c>
      <c r="E80" s="5" t="s">
        <v>192</v>
      </c>
    </row>
    <row r="81" spans="2:80" x14ac:dyDescent="0.25">
      <c r="B81" s="12" t="s">
        <v>355</v>
      </c>
      <c r="C81" s="12" t="s">
        <v>356</v>
      </c>
      <c r="D81" s="12" t="s">
        <v>341</v>
      </c>
      <c r="E81" s="5" t="s">
        <v>192</v>
      </c>
      <c r="F81" s="5" t="s">
        <v>192</v>
      </c>
      <c r="G81" s="5" t="s">
        <v>192</v>
      </c>
      <c r="H81" s="5" t="s">
        <v>192</v>
      </c>
      <c r="K81" s="5" t="s">
        <v>192</v>
      </c>
      <c r="N81" s="5" t="s">
        <v>192</v>
      </c>
      <c r="O81" s="5" t="s">
        <v>192</v>
      </c>
      <c r="U81" s="5" t="s">
        <v>192</v>
      </c>
      <c r="X81" s="5" t="s">
        <v>192</v>
      </c>
      <c r="Y81" s="5" t="s">
        <v>192</v>
      </c>
      <c r="Z81" s="5" t="s">
        <v>192</v>
      </c>
      <c r="AC81" s="5" t="s">
        <v>192</v>
      </c>
      <c r="AF81" s="5" t="s">
        <v>192</v>
      </c>
      <c r="AK81" s="5" t="s">
        <v>192</v>
      </c>
      <c r="AL81" s="5" t="s">
        <v>192</v>
      </c>
      <c r="AM81" s="5" t="s">
        <v>192</v>
      </c>
      <c r="AO81" s="5" t="s">
        <v>192</v>
      </c>
      <c r="AP81" s="5" t="s">
        <v>192</v>
      </c>
      <c r="AQ81" s="5" t="s">
        <v>192</v>
      </c>
      <c r="BW81" s="5" t="s">
        <v>192</v>
      </c>
      <c r="BX81" s="5" t="s">
        <v>192</v>
      </c>
      <c r="BY81" s="5" t="s">
        <v>192</v>
      </c>
      <c r="BZ81" s="5" t="s">
        <v>192</v>
      </c>
      <c r="CA81" s="5" t="s">
        <v>192</v>
      </c>
      <c r="CB81" s="5" t="s">
        <v>192</v>
      </c>
    </row>
    <row r="82" spans="2:80" x14ac:dyDescent="0.25">
      <c r="B82" t="s">
        <v>357</v>
      </c>
      <c r="C82" t="s">
        <v>358</v>
      </c>
      <c r="D82" t="s">
        <v>359</v>
      </c>
      <c r="E82" s="5" t="s">
        <v>192</v>
      </c>
      <c r="Z82" s="5" t="s">
        <v>192</v>
      </c>
      <c r="AO82" s="5" t="s">
        <v>192</v>
      </c>
      <c r="AP82" s="5" t="s">
        <v>192</v>
      </c>
      <c r="AR82" s="5" t="s">
        <v>192</v>
      </c>
      <c r="BQ82" s="5" t="s">
        <v>192</v>
      </c>
      <c r="BR82" s="5" t="s">
        <v>192</v>
      </c>
    </row>
    <row r="83" spans="2:80" x14ac:dyDescent="0.25">
      <c r="B83" t="s">
        <v>360</v>
      </c>
      <c r="C83" t="s">
        <v>361</v>
      </c>
      <c r="D83" t="s">
        <v>359</v>
      </c>
      <c r="E83" s="5" t="s">
        <v>192</v>
      </c>
      <c r="Z83" s="5" t="s">
        <v>192</v>
      </c>
      <c r="AO83" s="5" t="s">
        <v>192</v>
      </c>
      <c r="AP83" s="5" t="s">
        <v>192</v>
      </c>
      <c r="AR83" s="5" t="s">
        <v>192</v>
      </c>
      <c r="BQ83" s="5" t="s">
        <v>192</v>
      </c>
      <c r="BR83" s="5" t="s">
        <v>192</v>
      </c>
    </row>
    <row r="84" spans="2:80" x14ac:dyDescent="0.25">
      <c r="B84" t="s">
        <v>362</v>
      </c>
      <c r="C84" t="s">
        <v>363</v>
      </c>
      <c r="D84" t="s">
        <v>364</v>
      </c>
      <c r="E84" s="5" t="s">
        <v>192</v>
      </c>
      <c r="Z84" s="5" t="s">
        <v>192</v>
      </c>
      <c r="AO84" s="5" t="s">
        <v>192</v>
      </c>
      <c r="AP84" s="5" t="s">
        <v>192</v>
      </c>
      <c r="AR84" s="5" t="s">
        <v>192</v>
      </c>
      <c r="BQ84" s="5" t="s">
        <v>192</v>
      </c>
      <c r="BR84" s="5" t="s">
        <v>192</v>
      </c>
    </row>
    <row r="85" spans="2:80" x14ac:dyDescent="0.25">
      <c r="B85" t="s">
        <v>365</v>
      </c>
      <c r="C85" t="s">
        <v>366</v>
      </c>
      <c r="D85" t="s">
        <v>364</v>
      </c>
      <c r="E85" s="5" t="s">
        <v>192</v>
      </c>
      <c r="Z85" s="5" t="s">
        <v>192</v>
      </c>
      <c r="AO85" s="5" t="s">
        <v>192</v>
      </c>
      <c r="AP85" s="5" t="s">
        <v>192</v>
      </c>
      <c r="AR85" s="5" t="s">
        <v>192</v>
      </c>
      <c r="BQ85" s="5" t="s">
        <v>192</v>
      </c>
      <c r="BR85" s="5" t="s">
        <v>192</v>
      </c>
    </row>
    <row r="86" spans="2:80" x14ac:dyDescent="0.25">
      <c r="B86" t="s">
        <v>367</v>
      </c>
      <c r="C86" t="s">
        <v>368</v>
      </c>
      <c r="D86" t="s">
        <v>364</v>
      </c>
      <c r="E86" s="5" t="s">
        <v>192</v>
      </c>
      <c r="Z86" s="5" t="s">
        <v>192</v>
      </c>
      <c r="AO86" s="5" t="s">
        <v>192</v>
      </c>
      <c r="AP86" s="5" t="s">
        <v>192</v>
      </c>
      <c r="AR86" s="5" t="s">
        <v>192</v>
      </c>
      <c r="BQ86" s="5" t="s">
        <v>192</v>
      </c>
      <c r="BR86" s="5" t="s">
        <v>192</v>
      </c>
    </row>
    <row r="87" spans="2:80" x14ac:dyDescent="0.25">
      <c r="B87" t="s">
        <v>369</v>
      </c>
      <c r="C87" t="s">
        <v>370</v>
      </c>
      <c r="D87" t="s">
        <v>371</v>
      </c>
      <c r="E87" s="5" t="s">
        <v>192</v>
      </c>
      <c r="Z87" s="5" t="s">
        <v>192</v>
      </c>
      <c r="AO87" s="5" t="s">
        <v>192</v>
      </c>
      <c r="AP87" s="5" t="s">
        <v>192</v>
      </c>
      <c r="AR87" s="5" t="s">
        <v>192</v>
      </c>
      <c r="BQ87" s="5" t="s">
        <v>192</v>
      </c>
      <c r="BR87" s="5" t="s">
        <v>192</v>
      </c>
    </row>
    <row r="88" spans="2:80" x14ac:dyDescent="0.25">
      <c r="B88" t="s">
        <v>372</v>
      </c>
      <c r="C88" t="s">
        <v>373</v>
      </c>
      <c r="D88" t="s">
        <v>374</v>
      </c>
      <c r="E88" s="5" t="s">
        <v>192</v>
      </c>
      <c r="Z88" s="5" t="s">
        <v>192</v>
      </c>
      <c r="AO88" s="5" t="s">
        <v>192</v>
      </c>
      <c r="AP88" s="5" t="s">
        <v>192</v>
      </c>
      <c r="AR88" s="5" t="s">
        <v>192</v>
      </c>
      <c r="BQ88" s="5" t="s">
        <v>192</v>
      </c>
      <c r="BR88" s="5" t="s">
        <v>192</v>
      </c>
    </row>
    <row r="89" spans="2:80" x14ac:dyDescent="0.25">
      <c r="B89" t="s">
        <v>375</v>
      </c>
      <c r="C89" t="s">
        <v>376</v>
      </c>
      <c r="D89" t="s">
        <v>364</v>
      </c>
      <c r="E89" s="5" t="s">
        <v>192</v>
      </c>
      <c r="Z89" s="5" t="s">
        <v>192</v>
      </c>
      <c r="AO89" s="5" t="s">
        <v>192</v>
      </c>
      <c r="AP89" s="5" t="s">
        <v>192</v>
      </c>
      <c r="AR89" s="5" t="s">
        <v>192</v>
      </c>
      <c r="BQ89" s="5" t="s">
        <v>192</v>
      </c>
      <c r="BR89" s="5" t="s">
        <v>192</v>
      </c>
    </row>
    <row r="90" spans="2:80" x14ac:dyDescent="0.25">
      <c r="B90" t="s">
        <v>377</v>
      </c>
      <c r="C90" t="s">
        <v>378</v>
      </c>
      <c r="D90" t="s">
        <v>207</v>
      </c>
      <c r="E90" s="5" t="s">
        <v>192</v>
      </c>
      <c r="Z90" s="5" t="s">
        <v>192</v>
      </c>
      <c r="AO90" s="5" t="s">
        <v>192</v>
      </c>
      <c r="AP90" s="5" t="s">
        <v>192</v>
      </c>
    </row>
    <row r="91" spans="2:80" x14ac:dyDescent="0.25">
      <c r="B91" t="s">
        <v>379</v>
      </c>
      <c r="C91" t="s">
        <v>380</v>
      </c>
      <c r="D91" t="s">
        <v>364</v>
      </c>
      <c r="Z91" s="5" t="s">
        <v>192</v>
      </c>
    </row>
    <row r="92" spans="2:80" x14ac:dyDescent="0.25">
      <c r="B92" t="s">
        <v>381</v>
      </c>
      <c r="C92" t="s">
        <v>382</v>
      </c>
      <c r="D92" t="s">
        <v>207</v>
      </c>
      <c r="E92" s="5" t="s">
        <v>192</v>
      </c>
      <c r="Z92" s="5" t="s">
        <v>192</v>
      </c>
      <c r="AO92" s="5" t="s">
        <v>192</v>
      </c>
      <c r="AP92" s="5" t="s">
        <v>192</v>
      </c>
    </row>
    <row r="93" spans="2:80" x14ac:dyDescent="0.25">
      <c r="B93" t="s">
        <v>383</v>
      </c>
      <c r="C93" t="s">
        <v>384</v>
      </c>
      <c r="D93" t="s">
        <v>207</v>
      </c>
      <c r="E93" s="5" t="s">
        <v>192</v>
      </c>
      <c r="Z93" s="5" t="s">
        <v>192</v>
      </c>
      <c r="AO93" s="5" t="s">
        <v>192</v>
      </c>
      <c r="AP93" s="5" t="s">
        <v>192</v>
      </c>
    </row>
    <row r="94" spans="2:80" x14ac:dyDescent="0.25">
      <c r="B94" t="s">
        <v>385</v>
      </c>
      <c r="C94" t="s">
        <v>386</v>
      </c>
      <c r="D94" t="s">
        <v>207</v>
      </c>
      <c r="E94" s="5" t="s">
        <v>192</v>
      </c>
      <c r="Z94" s="5" t="s">
        <v>192</v>
      </c>
      <c r="AO94" s="5" t="s">
        <v>192</v>
      </c>
      <c r="AP94" s="5" t="s">
        <v>192</v>
      </c>
    </row>
    <row r="95" spans="2:80" x14ac:dyDescent="0.25">
      <c r="B95" s="66" t="s">
        <v>387</v>
      </c>
      <c r="C95" s="66" t="s">
        <v>388</v>
      </c>
      <c r="D95" t="s">
        <v>207</v>
      </c>
      <c r="E95" s="5" t="s">
        <v>192</v>
      </c>
      <c r="Z95" s="5" t="s">
        <v>192</v>
      </c>
      <c r="AO95" s="5" t="s">
        <v>192</v>
      </c>
      <c r="AP95" s="5" t="s">
        <v>192</v>
      </c>
    </row>
    <row r="96" spans="2:80" x14ac:dyDescent="0.25">
      <c r="B96" s="66" t="s">
        <v>389</v>
      </c>
      <c r="C96" s="66" t="s">
        <v>390</v>
      </c>
      <c r="D96" t="s">
        <v>207</v>
      </c>
      <c r="E96" s="5" t="s">
        <v>192</v>
      </c>
      <c r="Z96" s="5" t="s">
        <v>192</v>
      </c>
      <c r="AO96" s="5" t="s">
        <v>192</v>
      </c>
      <c r="AP96" s="5" t="s">
        <v>192</v>
      </c>
    </row>
    <row r="97" spans="2:42" x14ac:dyDescent="0.25">
      <c r="B97" s="66" t="s">
        <v>391</v>
      </c>
      <c r="C97" s="66" t="s">
        <v>392</v>
      </c>
      <c r="D97" t="s">
        <v>207</v>
      </c>
      <c r="E97" s="5" t="s">
        <v>192</v>
      </c>
      <c r="Z97" s="5" t="s">
        <v>192</v>
      </c>
      <c r="AO97" s="5" t="s">
        <v>192</v>
      </c>
      <c r="AP97" s="5" t="s">
        <v>192</v>
      </c>
    </row>
    <row r="98" spans="2:42" x14ac:dyDescent="0.25">
      <c r="B98" s="66" t="s">
        <v>2696</v>
      </c>
      <c r="C98" s="66" t="s">
        <v>2698</v>
      </c>
      <c r="D98" t="s">
        <v>207</v>
      </c>
      <c r="E98" s="5" t="s">
        <v>192</v>
      </c>
      <c r="Z98" s="5" t="s">
        <v>192</v>
      </c>
      <c r="AO98" s="5" t="s">
        <v>192</v>
      </c>
      <c r="AP98" s="5" t="s">
        <v>192</v>
      </c>
    </row>
    <row r="99" spans="2:42" x14ac:dyDescent="0.25">
      <c r="B99" s="66" t="s">
        <v>2697</v>
      </c>
      <c r="C99" s="66" t="s">
        <v>2699</v>
      </c>
      <c r="D99" t="s">
        <v>207</v>
      </c>
      <c r="E99" s="5" t="s">
        <v>192</v>
      </c>
      <c r="Z99" s="5" t="s">
        <v>192</v>
      </c>
      <c r="AO99" s="5" t="s">
        <v>192</v>
      </c>
      <c r="AP99" s="5" t="s">
        <v>192</v>
      </c>
    </row>
    <row r="100" spans="2:42" x14ac:dyDescent="0.25">
      <c r="B100" t="s">
        <v>393</v>
      </c>
      <c r="C100" t="s">
        <v>394</v>
      </c>
      <c r="D100" t="s">
        <v>269</v>
      </c>
      <c r="E100" s="5" t="s">
        <v>192</v>
      </c>
      <c r="F100" s="5" t="s">
        <v>192</v>
      </c>
      <c r="G100" s="5" t="s">
        <v>192</v>
      </c>
      <c r="H100" s="5" t="s">
        <v>192</v>
      </c>
      <c r="K100" s="5" t="s">
        <v>192</v>
      </c>
      <c r="N100" s="5" t="s">
        <v>192</v>
      </c>
      <c r="O100" s="5" t="s">
        <v>192</v>
      </c>
      <c r="U100" s="5" t="s">
        <v>192</v>
      </c>
      <c r="X100" s="5" t="s">
        <v>192</v>
      </c>
      <c r="Y100" s="5" t="s">
        <v>192</v>
      </c>
      <c r="Z100" s="5" t="s">
        <v>192</v>
      </c>
      <c r="AO100" s="5" t="s">
        <v>192</v>
      </c>
      <c r="AP100" s="5" t="s">
        <v>192</v>
      </c>
    </row>
    <row r="101" spans="2:42" x14ac:dyDescent="0.25">
      <c r="B101" t="s">
        <v>395</v>
      </c>
      <c r="C101" t="s">
        <v>396</v>
      </c>
      <c r="D101" t="s">
        <v>269</v>
      </c>
      <c r="E101" s="5" t="s">
        <v>192</v>
      </c>
      <c r="F101" s="5" t="s">
        <v>192</v>
      </c>
      <c r="G101" s="5" t="s">
        <v>192</v>
      </c>
      <c r="H101" s="5" t="s">
        <v>192</v>
      </c>
      <c r="K101" s="5" t="s">
        <v>192</v>
      </c>
      <c r="N101" s="5" t="s">
        <v>192</v>
      </c>
      <c r="O101" s="5" t="s">
        <v>192</v>
      </c>
      <c r="U101" s="5" t="s">
        <v>192</v>
      </c>
      <c r="X101" s="5" t="s">
        <v>192</v>
      </c>
      <c r="Y101" s="5" t="s">
        <v>192</v>
      </c>
      <c r="Z101" s="5" t="s">
        <v>192</v>
      </c>
      <c r="AO101" s="5" t="s">
        <v>192</v>
      </c>
      <c r="AP101" s="5" t="s">
        <v>192</v>
      </c>
    </row>
    <row r="102" spans="2:42" ht="15" customHeight="1" x14ac:dyDescent="0.25">
      <c r="B102" t="s">
        <v>397</v>
      </c>
      <c r="C102" t="s">
        <v>398</v>
      </c>
      <c r="D102" t="s">
        <v>269</v>
      </c>
      <c r="E102" s="5" t="s">
        <v>192</v>
      </c>
      <c r="F102" s="5" t="s">
        <v>192</v>
      </c>
      <c r="G102" s="5" t="s">
        <v>192</v>
      </c>
      <c r="H102" s="5" t="s">
        <v>192</v>
      </c>
      <c r="K102" s="5" t="s">
        <v>192</v>
      </c>
      <c r="N102" s="5" t="s">
        <v>192</v>
      </c>
      <c r="O102" s="5" t="s">
        <v>192</v>
      </c>
      <c r="U102" s="5" t="s">
        <v>192</v>
      </c>
      <c r="X102" s="5" t="s">
        <v>192</v>
      </c>
      <c r="Y102" s="5" t="s">
        <v>192</v>
      </c>
      <c r="Z102" s="5" t="s">
        <v>192</v>
      </c>
      <c r="AO102" s="5" t="s">
        <v>192</v>
      </c>
      <c r="AP102" s="5" t="s">
        <v>192</v>
      </c>
    </row>
    <row r="103" spans="2:42" ht="15" customHeight="1" x14ac:dyDescent="0.25">
      <c r="B103" t="s">
        <v>399</v>
      </c>
      <c r="C103" t="s">
        <v>400</v>
      </c>
      <c r="D103" t="s">
        <v>269</v>
      </c>
      <c r="E103" s="5" t="s">
        <v>192</v>
      </c>
      <c r="Z103" s="5" t="s">
        <v>192</v>
      </c>
      <c r="AO103" s="5" t="s">
        <v>192</v>
      </c>
      <c r="AP103" s="5" t="s">
        <v>192</v>
      </c>
    </row>
    <row r="104" spans="2:42" x14ac:dyDescent="0.25">
      <c r="B104" t="s">
        <v>401</v>
      </c>
      <c r="C104" t="s">
        <v>402</v>
      </c>
      <c r="D104" t="s">
        <v>269</v>
      </c>
      <c r="E104" s="5" t="s">
        <v>192</v>
      </c>
      <c r="F104" s="5" t="s">
        <v>192</v>
      </c>
      <c r="G104" s="5" t="s">
        <v>192</v>
      </c>
      <c r="H104" s="5" t="s">
        <v>192</v>
      </c>
      <c r="K104" s="5" t="s">
        <v>192</v>
      </c>
      <c r="N104" s="5" t="s">
        <v>192</v>
      </c>
      <c r="O104" s="5" t="s">
        <v>192</v>
      </c>
      <c r="U104" s="5" t="s">
        <v>192</v>
      </c>
      <c r="X104" s="5" t="s">
        <v>192</v>
      </c>
      <c r="Y104" s="5" t="s">
        <v>192</v>
      </c>
      <c r="Z104" s="5" t="s">
        <v>192</v>
      </c>
      <c r="AO104" s="5" t="s">
        <v>192</v>
      </c>
      <c r="AP104" s="5" t="s">
        <v>192</v>
      </c>
    </row>
    <row r="105" spans="2:42" ht="15" customHeight="1" x14ac:dyDescent="0.25">
      <c r="B105" t="s">
        <v>403</v>
      </c>
      <c r="C105" t="s">
        <v>404</v>
      </c>
      <c r="D105" t="s">
        <v>269</v>
      </c>
      <c r="E105" s="5" t="s">
        <v>192</v>
      </c>
      <c r="F105" s="5" t="s">
        <v>192</v>
      </c>
      <c r="G105" s="5" t="s">
        <v>192</v>
      </c>
      <c r="H105" s="5" t="s">
        <v>192</v>
      </c>
      <c r="K105" s="5" t="s">
        <v>192</v>
      </c>
      <c r="N105" s="5" t="s">
        <v>192</v>
      </c>
      <c r="O105" s="5" t="s">
        <v>192</v>
      </c>
      <c r="U105" s="5" t="s">
        <v>192</v>
      </c>
      <c r="X105" s="5" t="s">
        <v>192</v>
      </c>
      <c r="Y105" s="5" t="s">
        <v>192</v>
      </c>
      <c r="Z105" s="5" t="s">
        <v>192</v>
      </c>
      <c r="AO105" s="5" t="s">
        <v>192</v>
      </c>
    </row>
    <row r="106" spans="2:42" ht="15" customHeight="1" x14ac:dyDescent="0.25">
      <c r="B106" t="s">
        <v>405</v>
      </c>
      <c r="C106" t="s">
        <v>406</v>
      </c>
      <c r="D106" t="s">
        <v>269</v>
      </c>
      <c r="E106" s="5" t="s">
        <v>192</v>
      </c>
      <c r="F106" s="5" t="s">
        <v>192</v>
      </c>
      <c r="G106" s="5" t="s">
        <v>192</v>
      </c>
      <c r="H106" s="5" t="s">
        <v>192</v>
      </c>
      <c r="K106" s="5" t="s">
        <v>192</v>
      </c>
      <c r="N106" s="5" t="s">
        <v>192</v>
      </c>
      <c r="O106" s="5" t="s">
        <v>192</v>
      </c>
      <c r="U106" s="5" t="s">
        <v>192</v>
      </c>
      <c r="X106" s="5" t="s">
        <v>192</v>
      </c>
      <c r="Y106" s="5" t="s">
        <v>192</v>
      </c>
      <c r="Z106" s="5" t="s">
        <v>192</v>
      </c>
      <c r="AO106" s="5" t="s">
        <v>192</v>
      </c>
    </row>
    <row r="107" spans="2:42" ht="15" customHeight="1" x14ac:dyDescent="0.25">
      <c r="B107" t="s">
        <v>407</v>
      </c>
      <c r="C107" t="s">
        <v>408</v>
      </c>
      <c r="D107" t="s">
        <v>269</v>
      </c>
      <c r="E107" s="5" t="s">
        <v>192</v>
      </c>
      <c r="Z107" s="5" t="s">
        <v>192</v>
      </c>
      <c r="AO107" s="5" t="s">
        <v>192</v>
      </c>
      <c r="AP107" s="5" t="s">
        <v>192</v>
      </c>
    </row>
    <row r="108" spans="2:42" ht="15" customHeight="1" x14ac:dyDescent="0.25">
      <c r="B108" t="s">
        <v>409</v>
      </c>
      <c r="C108" t="s">
        <v>410</v>
      </c>
      <c r="D108" t="s">
        <v>411</v>
      </c>
      <c r="E108" s="5" t="s">
        <v>192</v>
      </c>
      <c r="F108" s="5" t="s">
        <v>192</v>
      </c>
      <c r="G108" s="5" t="s">
        <v>192</v>
      </c>
      <c r="H108" s="5" t="s">
        <v>192</v>
      </c>
      <c r="K108" s="5" t="s">
        <v>192</v>
      </c>
      <c r="N108" s="5" t="s">
        <v>192</v>
      </c>
      <c r="O108" s="5" t="s">
        <v>192</v>
      </c>
      <c r="U108" s="5" t="s">
        <v>192</v>
      </c>
      <c r="X108" s="5" t="s">
        <v>192</v>
      </c>
      <c r="Y108" s="5" t="s">
        <v>192</v>
      </c>
      <c r="Z108" s="5" t="s">
        <v>192</v>
      </c>
      <c r="AO108" s="5" t="s">
        <v>192</v>
      </c>
      <c r="AP108" s="5" t="s">
        <v>192</v>
      </c>
    </row>
    <row r="109" spans="2:42" ht="15" customHeight="1" x14ac:dyDescent="0.25">
      <c r="B109" t="s">
        <v>412</v>
      </c>
      <c r="C109" t="s">
        <v>413</v>
      </c>
      <c r="D109" t="s">
        <v>411</v>
      </c>
      <c r="E109" s="5" t="s">
        <v>192</v>
      </c>
      <c r="F109" s="5" t="s">
        <v>192</v>
      </c>
      <c r="G109" s="5" t="s">
        <v>192</v>
      </c>
      <c r="H109" s="5" t="s">
        <v>192</v>
      </c>
      <c r="K109" s="5" t="s">
        <v>192</v>
      </c>
      <c r="N109" s="5" t="s">
        <v>192</v>
      </c>
      <c r="O109" s="5" t="s">
        <v>192</v>
      </c>
      <c r="U109" s="5" t="s">
        <v>192</v>
      </c>
      <c r="X109" s="5" t="s">
        <v>192</v>
      </c>
      <c r="Y109" s="5" t="s">
        <v>192</v>
      </c>
      <c r="Z109" s="5" t="s">
        <v>192</v>
      </c>
      <c r="AO109" s="5" t="s">
        <v>192</v>
      </c>
      <c r="AP109" s="5" t="s">
        <v>192</v>
      </c>
    </row>
    <row r="110" spans="2:42" ht="15" customHeight="1" x14ac:dyDescent="0.25">
      <c r="B110" t="s">
        <v>414</v>
      </c>
      <c r="C110" t="s">
        <v>415</v>
      </c>
      <c r="D110" t="s">
        <v>411</v>
      </c>
      <c r="AC110" s="5" t="s">
        <v>192</v>
      </c>
      <c r="AF110" s="5" t="s">
        <v>192</v>
      </c>
      <c r="AK110" s="5" t="s">
        <v>192</v>
      </c>
      <c r="AL110" s="5" t="s">
        <v>192</v>
      </c>
      <c r="AM110" s="5" t="s">
        <v>192</v>
      </c>
      <c r="AO110" s="5" t="s">
        <v>192</v>
      </c>
    </row>
    <row r="111" spans="2:42" ht="15" customHeight="1" x14ac:dyDescent="0.25">
      <c r="B111" t="s">
        <v>416</v>
      </c>
      <c r="C111" t="s">
        <v>417</v>
      </c>
      <c r="D111" t="s">
        <v>418</v>
      </c>
      <c r="E111" s="5" t="s">
        <v>192</v>
      </c>
      <c r="F111" s="5" t="s">
        <v>192</v>
      </c>
      <c r="G111" s="5" t="s">
        <v>192</v>
      </c>
      <c r="H111" s="5" t="s">
        <v>192</v>
      </c>
      <c r="K111" s="5" t="s">
        <v>192</v>
      </c>
      <c r="N111" s="5" t="s">
        <v>192</v>
      </c>
      <c r="O111" s="5" t="s">
        <v>192</v>
      </c>
      <c r="U111" s="5" t="s">
        <v>192</v>
      </c>
      <c r="X111" s="5" t="s">
        <v>192</v>
      </c>
      <c r="Y111" s="5" t="s">
        <v>192</v>
      </c>
      <c r="Z111" s="5" t="s">
        <v>192</v>
      </c>
      <c r="AC111" s="5" t="s">
        <v>192</v>
      </c>
      <c r="AF111" s="5" t="s">
        <v>192</v>
      </c>
      <c r="AK111" s="5" t="s">
        <v>192</v>
      </c>
      <c r="AL111" s="5" t="s">
        <v>192</v>
      </c>
      <c r="AM111" s="5" t="s">
        <v>192</v>
      </c>
      <c r="AO111" s="5" t="s">
        <v>192</v>
      </c>
    </row>
    <row r="112" spans="2:42" ht="15" customHeight="1" x14ac:dyDescent="0.25">
      <c r="B112" t="s">
        <v>419</v>
      </c>
      <c r="C112" t="s">
        <v>420</v>
      </c>
      <c r="D112" t="s">
        <v>421</v>
      </c>
      <c r="E112" s="5" t="s">
        <v>192</v>
      </c>
    </row>
    <row r="113" spans="2:89" ht="15" customHeight="1" x14ac:dyDescent="0.25">
      <c r="B113" t="s">
        <v>422</v>
      </c>
      <c r="C113" t="s">
        <v>423</v>
      </c>
      <c r="D113" t="s">
        <v>198</v>
      </c>
      <c r="E113" s="5" t="s">
        <v>192</v>
      </c>
      <c r="F113" s="5" t="s">
        <v>192</v>
      </c>
      <c r="G113" s="5" t="s">
        <v>192</v>
      </c>
      <c r="H113" s="5" t="s">
        <v>192</v>
      </c>
      <c r="K113" s="5" t="s">
        <v>192</v>
      </c>
      <c r="N113" s="5" t="s">
        <v>192</v>
      </c>
      <c r="O113" s="5" t="s">
        <v>192</v>
      </c>
      <c r="U113" s="5" t="s">
        <v>192</v>
      </c>
      <c r="X113" s="5" t="s">
        <v>192</v>
      </c>
      <c r="Y113" s="5" t="s">
        <v>192</v>
      </c>
      <c r="Z113" s="5" t="s">
        <v>192</v>
      </c>
      <c r="AC113" s="5" t="s">
        <v>192</v>
      </c>
      <c r="AF113" s="5" t="s">
        <v>192</v>
      </c>
      <c r="AK113" s="5" t="s">
        <v>192</v>
      </c>
      <c r="AL113" s="5" t="s">
        <v>192</v>
      </c>
      <c r="AM113" s="5" t="s">
        <v>192</v>
      </c>
      <c r="AN113" s="5" t="s">
        <v>192</v>
      </c>
      <c r="AO113" s="5" t="s">
        <v>192</v>
      </c>
      <c r="CH113" t="s">
        <v>192</v>
      </c>
      <c r="CI113" t="s">
        <v>192</v>
      </c>
      <c r="CJ113" t="s">
        <v>192</v>
      </c>
    </row>
    <row r="114" spans="2:89" ht="15" customHeight="1" x14ac:dyDescent="0.25">
      <c r="B114" t="s">
        <v>424</v>
      </c>
      <c r="C114" t="s">
        <v>425</v>
      </c>
      <c r="D114" t="s">
        <v>198</v>
      </c>
      <c r="E114" s="5" t="s">
        <v>192</v>
      </c>
      <c r="F114" s="5" t="s">
        <v>192</v>
      </c>
      <c r="G114" s="5" t="s">
        <v>192</v>
      </c>
      <c r="H114" s="5" t="s">
        <v>192</v>
      </c>
      <c r="K114" s="5" t="s">
        <v>192</v>
      </c>
      <c r="N114" s="5" t="s">
        <v>192</v>
      </c>
      <c r="O114" s="5" t="s">
        <v>192</v>
      </c>
      <c r="U114" s="5" t="s">
        <v>192</v>
      </c>
      <c r="X114" s="5" t="s">
        <v>192</v>
      </c>
      <c r="Y114" s="5" t="s">
        <v>192</v>
      </c>
      <c r="Z114" s="5" t="s">
        <v>192</v>
      </c>
      <c r="AC114" s="5" t="s">
        <v>192</v>
      </c>
      <c r="AF114" s="5" t="s">
        <v>192</v>
      </c>
      <c r="AK114" s="5" t="s">
        <v>192</v>
      </c>
      <c r="AL114" s="5" t="s">
        <v>192</v>
      </c>
      <c r="AM114" s="5" t="s">
        <v>192</v>
      </c>
      <c r="AN114" s="5" t="s">
        <v>192</v>
      </c>
      <c r="AO114" s="5" t="s">
        <v>192</v>
      </c>
      <c r="CH114" t="s">
        <v>192</v>
      </c>
      <c r="CI114" t="s">
        <v>192</v>
      </c>
      <c r="CJ114" t="s">
        <v>192</v>
      </c>
    </row>
    <row r="115" spans="2:89" ht="15" customHeight="1" x14ac:dyDescent="0.25">
      <c r="B115" t="s">
        <v>426</v>
      </c>
      <c r="C115" t="s">
        <v>427</v>
      </c>
      <c r="D115" t="s">
        <v>269</v>
      </c>
      <c r="E115" s="5" t="s">
        <v>192</v>
      </c>
      <c r="F115" s="5" t="s">
        <v>192</v>
      </c>
      <c r="G115" s="5" t="s">
        <v>192</v>
      </c>
      <c r="H115" s="5" t="s">
        <v>192</v>
      </c>
      <c r="K115" s="5" t="s">
        <v>192</v>
      </c>
      <c r="N115" s="5" t="s">
        <v>192</v>
      </c>
      <c r="O115" s="5" t="s">
        <v>192</v>
      </c>
      <c r="U115" s="5" t="s">
        <v>192</v>
      </c>
      <c r="X115" s="5" t="s">
        <v>192</v>
      </c>
      <c r="Y115" s="5" t="s">
        <v>192</v>
      </c>
      <c r="Z115" s="5" t="s">
        <v>192</v>
      </c>
      <c r="AC115" s="5" t="s">
        <v>192</v>
      </c>
      <c r="AF115" s="5" t="s">
        <v>192</v>
      </c>
      <c r="AK115" s="5" t="s">
        <v>192</v>
      </c>
      <c r="AL115" s="5" t="s">
        <v>192</v>
      </c>
      <c r="AM115" s="5" t="s">
        <v>192</v>
      </c>
      <c r="AN115" s="5" t="s">
        <v>192</v>
      </c>
      <c r="AO115" s="5" t="s">
        <v>192</v>
      </c>
      <c r="CH115" t="s">
        <v>192</v>
      </c>
      <c r="CI115" t="s">
        <v>192</v>
      </c>
      <c r="CJ115" t="s">
        <v>192</v>
      </c>
    </row>
    <row r="116" spans="2:89" ht="15" customHeight="1" x14ac:dyDescent="0.25">
      <c r="B116" t="s">
        <v>428</v>
      </c>
      <c r="C116" t="s">
        <v>429</v>
      </c>
      <c r="D116" t="s">
        <v>269</v>
      </c>
      <c r="E116" s="5" t="s">
        <v>192</v>
      </c>
      <c r="F116" s="5" t="s">
        <v>192</v>
      </c>
      <c r="G116" s="5" t="s">
        <v>192</v>
      </c>
      <c r="H116" s="5" t="s">
        <v>192</v>
      </c>
      <c r="K116" s="5" t="s">
        <v>192</v>
      </c>
      <c r="N116" s="5" t="s">
        <v>192</v>
      </c>
      <c r="O116" s="5" t="s">
        <v>192</v>
      </c>
      <c r="U116" s="5" t="s">
        <v>192</v>
      </c>
      <c r="X116" s="5" t="s">
        <v>192</v>
      </c>
      <c r="Y116" s="5" t="s">
        <v>192</v>
      </c>
      <c r="Z116" s="5" t="s">
        <v>192</v>
      </c>
      <c r="AC116" s="5" t="s">
        <v>192</v>
      </c>
      <c r="AF116" s="5" t="s">
        <v>192</v>
      </c>
      <c r="AK116" s="5" t="s">
        <v>192</v>
      </c>
      <c r="AL116" s="5" t="s">
        <v>192</v>
      </c>
      <c r="AM116" s="5" t="s">
        <v>192</v>
      </c>
      <c r="AN116" s="5" t="s">
        <v>192</v>
      </c>
      <c r="AO116" s="5" t="s">
        <v>192</v>
      </c>
      <c r="CH116" t="s">
        <v>192</v>
      </c>
      <c r="CI116" t="s">
        <v>192</v>
      </c>
      <c r="CJ116" t="s">
        <v>192</v>
      </c>
    </row>
    <row r="117" spans="2:89" ht="15" customHeight="1" x14ac:dyDescent="0.25">
      <c r="B117" t="s">
        <v>430</v>
      </c>
      <c r="C117" t="s">
        <v>431</v>
      </c>
      <c r="D117" t="s">
        <v>269</v>
      </c>
      <c r="E117" s="5" t="s">
        <v>192</v>
      </c>
      <c r="F117" s="5" t="s">
        <v>192</v>
      </c>
      <c r="G117" s="5" t="s">
        <v>192</v>
      </c>
      <c r="H117" s="5" t="s">
        <v>192</v>
      </c>
      <c r="K117" s="5" t="s">
        <v>192</v>
      </c>
      <c r="N117" s="5" t="s">
        <v>192</v>
      </c>
      <c r="O117" s="5" t="s">
        <v>192</v>
      </c>
      <c r="U117" s="5" t="s">
        <v>192</v>
      </c>
      <c r="X117" s="5" t="s">
        <v>192</v>
      </c>
      <c r="Y117" s="5" t="s">
        <v>192</v>
      </c>
      <c r="Z117" s="5" t="s">
        <v>192</v>
      </c>
      <c r="AC117" s="5" t="s">
        <v>192</v>
      </c>
      <c r="AF117" s="5" t="s">
        <v>192</v>
      </c>
      <c r="AK117" s="5" t="s">
        <v>192</v>
      </c>
      <c r="AL117" s="5" t="s">
        <v>192</v>
      </c>
      <c r="AM117" s="5" t="s">
        <v>192</v>
      </c>
      <c r="AN117" s="5" t="s">
        <v>192</v>
      </c>
      <c r="AO117" s="5" t="s">
        <v>192</v>
      </c>
      <c r="CH117" t="s">
        <v>192</v>
      </c>
      <c r="CI117" t="s">
        <v>192</v>
      </c>
      <c r="CJ117" t="s">
        <v>192</v>
      </c>
    </row>
    <row r="118" spans="2:89" ht="15" customHeight="1" x14ac:dyDescent="0.25">
      <c r="B118" t="s">
        <v>432</v>
      </c>
      <c r="C118" t="s">
        <v>433</v>
      </c>
      <c r="D118" t="s">
        <v>434</v>
      </c>
      <c r="F118" s="5" t="s">
        <v>192</v>
      </c>
      <c r="G118" s="5" t="s">
        <v>192</v>
      </c>
      <c r="H118" s="5" t="s">
        <v>192</v>
      </c>
      <c r="K118" s="5" t="s">
        <v>192</v>
      </c>
      <c r="N118" s="5" t="s">
        <v>192</v>
      </c>
      <c r="O118" s="5" t="s">
        <v>192</v>
      </c>
      <c r="U118" s="5" t="s">
        <v>192</v>
      </c>
      <c r="Y118" s="5" t="s">
        <v>192</v>
      </c>
      <c r="Z118" s="5" t="s">
        <v>192</v>
      </c>
      <c r="AC118" s="5" t="s">
        <v>192</v>
      </c>
      <c r="AF118" s="5" t="s">
        <v>192</v>
      </c>
      <c r="AK118" s="5" t="s">
        <v>192</v>
      </c>
      <c r="AL118" s="5" t="s">
        <v>192</v>
      </c>
      <c r="AM118" s="5" t="s">
        <v>192</v>
      </c>
      <c r="AN118" s="5" t="s">
        <v>192</v>
      </c>
      <c r="AO118" s="5" t="s">
        <v>192</v>
      </c>
    </row>
    <row r="119" spans="2:89" ht="15" customHeight="1" x14ac:dyDescent="0.25">
      <c r="B119" t="s">
        <v>435</v>
      </c>
      <c r="C119" t="s">
        <v>436</v>
      </c>
      <c r="D119" t="s">
        <v>434</v>
      </c>
      <c r="F119" s="5" t="s">
        <v>192</v>
      </c>
      <c r="G119" s="5" t="s">
        <v>192</v>
      </c>
      <c r="H119" s="5" t="s">
        <v>192</v>
      </c>
      <c r="K119" s="5" t="s">
        <v>192</v>
      </c>
      <c r="N119" s="5" t="s">
        <v>192</v>
      </c>
      <c r="O119" s="5" t="s">
        <v>192</v>
      </c>
      <c r="U119" s="5" t="s">
        <v>192</v>
      </c>
      <c r="Y119" s="5" t="s">
        <v>192</v>
      </c>
      <c r="Z119" s="5" t="s">
        <v>192</v>
      </c>
      <c r="AC119" s="5" t="s">
        <v>192</v>
      </c>
      <c r="AF119" s="5" t="s">
        <v>192</v>
      </c>
      <c r="AK119" s="5" t="s">
        <v>192</v>
      </c>
      <c r="AL119" s="5" t="s">
        <v>192</v>
      </c>
      <c r="AM119" s="5" t="s">
        <v>192</v>
      </c>
      <c r="AN119" s="5" t="s">
        <v>192</v>
      </c>
      <c r="AO119" s="5" t="s">
        <v>192</v>
      </c>
    </row>
    <row r="120" spans="2:89" ht="15" customHeight="1" x14ac:dyDescent="0.25">
      <c r="B120" t="s">
        <v>437</v>
      </c>
      <c r="C120" t="s">
        <v>438</v>
      </c>
      <c r="D120" t="s">
        <v>364</v>
      </c>
      <c r="AC120" s="5" t="s">
        <v>192</v>
      </c>
      <c r="AF120" s="5" t="s">
        <v>192</v>
      </c>
      <c r="AK120" s="5" t="s">
        <v>192</v>
      </c>
      <c r="AL120" s="5" t="s">
        <v>192</v>
      </c>
      <c r="AM120" s="5" t="s">
        <v>192</v>
      </c>
    </row>
    <row r="121" spans="2:89" ht="15" customHeight="1" x14ac:dyDescent="0.25">
      <c r="B121" t="s">
        <v>439</v>
      </c>
      <c r="C121" t="s">
        <v>440</v>
      </c>
      <c r="D121" t="s">
        <v>12</v>
      </c>
      <c r="E121" s="5" t="s">
        <v>192</v>
      </c>
      <c r="F121" s="5" t="s">
        <v>192</v>
      </c>
      <c r="G121" s="5" t="s">
        <v>192</v>
      </c>
      <c r="H121" s="5" t="s">
        <v>192</v>
      </c>
      <c r="K121" s="5" t="s">
        <v>192</v>
      </c>
      <c r="N121" s="5" t="s">
        <v>192</v>
      </c>
      <c r="O121" s="5" t="s">
        <v>192</v>
      </c>
      <c r="U121" s="5" t="s">
        <v>192</v>
      </c>
      <c r="X121" s="5" t="s">
        <v>192</v>
      </c>
      <c r="Y121" s="5" t="s">
        <v>192</v>
      </c>
      <c r="Z121" s="5" t="s">
        <v>192</v>
      </c>
      <c r="AC121" s="5" t="s">
        <v>192</v>
      </c>
      <c r="AF121" s="5" t="s">
        <v>192</v>
      </c>
      <c r="AK121" s="5" t="s">
        <v>192</v>
      </c>
      <c r="AL121" s="5" t="s">
        <v>192</v>
      </c>
      <c r="AM121" s="5" t="s">
        <v>192</v>
      </c>
      <c r="AN121" s="5" t="s">
        <v>192</v>
      </c>
      <c r="AO121" s="5" t="s">
        <v>192</v>
      </c>
      <c r="AR121" s="5" t="s">
        <v>192</v>
      </c>
      <c r="CH121" t="s">
        <v>192</v>
      </c>
      <c r="CI121" t="s">
        <v>192</v>
      </c>
      <c r="CJ121" t="s">
        <v>192</v>
      </c>
      <c r="CK121" t="s">
        <v>192</v>
      </c>
    </row>
    <row r="122" spans="2:89" ht="15" customHeight="1" x14ac:dyDescent="0.25">
      <c r="B122" t="s">
        <v>441</v>
      </c>
      <c r="C122" t="s">
        <v>442</v>
      </c>
      <c r="D122" t="s">
        <v>195</v>
      </c>
      <c r="E122" s="5" t="s">
        <v>192</v>
      </c>
      <c r="F122" s="5" t="s">
        <v>192</v>
      </c>
      <c r="G122" s="5" t="s">
        <v>192</v>
      </c>
      <c r="H122" s="5" t="s">
        <v>192</v>
      </c>
      <c r="K122" s="5" t="s">
        <v>192</v>
      </c>
      <c r="N122" s="5" t="s">
        <v>192</v>
      </c>
      <c r="O122" s="5" t="s">
        <v>192</v>
      </c>
      <c r="U122" s="5" t="s">
        <v>192</v>
      </c>
      <c r="X122" s="5" t="s">
        <v>192</v>
      </c>
      <c r="Y122" s="5" t="s">
        <v>192</v>
      </c>
      <c r="Z122" s="5" t="s">
        <v>192</v>
      </c>
      <c r="AC122" s="5" t="s">
        <v>192</v>
      </c>
      <c r="AF122" s="5" t="s">
        <v>192</v>
      </c>
      <c r="AK122" s="5" t="s">
        <v>192</v>
      </c>
      <c r="AL122" s="5" t="s">
        <v>192</v>
      </c>
      <c r="AM122" s="5" t="s">
        <v>192</v>
      </c>
      <c r="AN122" s="5" t="s">
        <v>192</v>
      </c>
      <c r="AO122" s="5" t="s">
        <v>192</v>
      </c>
      <c r="AR122" s="5" t="s">
        <v>192</v>
      </c>
      <c r="CH122" t="s">
        <v>192</v>
      </c>
      <c r="CI122" t="s">
        <v>192</v>
      </c>
      <c r="CJ122" t="s">
        <v>192</v>
      </c>
      <c r="CK122" t="s">
        <v>192</v>
      </c>
    </row>
    <row r="123" spans="2:89" ht="15" customHeight="1" x14ac:dyDescent="0.25">
      <c r="B123" t="s">
        <v>443</v>
      </c>
      <c r="C123" t="s">
        <v>444</v>
      </c>
      <c r="D123" t="s">
        <v>445</v>
      </c>
      <c r="E123" s="5" t="s">
        <v>192</v>
      </c>
      <c r="Z123" s="5" t="s">
        <v>192</v>
      </c>
      <c r="AO123" s="5" t="s">
        <v>192</v>
      </c>
      <c r="AR123" s="5" t="s">
        <v>192</v>
      </c>
      <c r="CH123" t="s">
        <v>192</v>
      </c>
      <c r="CI123" t="s">
        <v>192</v>
      </c>
      <c r="CJ123" t="s">
        <v>192</v>
      </c>
      <c r="CK123" t="s">
        <v>192</v>
      </c>
    </row>
    <row r="124" spans="2:89" ht="15" customHeight="1" x14ac:dyDescent="0.25">
      <c r="B124" t="s">
        <v>446</v>
      </c>
      <c r="C124" t="s">
        <v>447</v>
      </c>
      <c r="D124" t="s">
        <v>448</v>
      </c>
      <c r="E124" s="5" t="s">
        <v>192</v>
      </c>
      <c r="F124" s="5" t="s">
        <v>192</v>
      </c>
      <c r="G124" s="5" t="s">
        <v>192</v>
      </c>
      <c r="H124" s="5" t="s">
        <v>192</v>
      </c>
      <c r="K124" s="5" t="s">
        <v>192</v>
      </c>
      <c r="N124" s="5" t="s">
        <v>192</v>
      </c>
      <c r="O124" s="5" t="s">
        <v>192</v>
      </c>
      <c r="U124" s="5" t="s">
        <v>192</v>
      </c>
      <c r="X124" s="5" t="s">
        <v>192</v>
      </c>
      <c r="Y124" s="5" t="s">
        <v>192</v>
      </c>
      <c r="Z124" s="5" t="s">
        <v>192</v>
      </c>
      <c r="AC124" s="5" t="s">
        <v>192</v>
      </c>
      <c r="AF124" s="5" t="s">
        <v>192</v>
      </c>
      <c r="AK124" s="5" t="s">
        <v>192</v>
      </c>
      <c r="AL124" s="5" t="s">
        <v>192</v>
      </c>
      <c r="AM124" s="5" t="s">
        <v>192</v>
      </c>
      <c r="AN124" s="5" t="s">
        <v>192</v>
      </c>
      <c r="AO124" s="5" t="s">
        <v>192</v>
      </c>
      <c r="AR124" s="5" t="s">
        <v>192</v>
      </c>
      <c r="CH124" t="s">
        <v>192</v>
      </c>
      <c r="CI124" t="s">
        <v>192</v>
      </c>
      <c r="CJ124" t="s">
        <v>192</v>
      </c>
      <c r="CK124" t="s">
        <v>192</v>
      </c>
    </row>
    <row r="125" spans="2:89" ht="15" customHeight="1" x14ac:dyDescent="0.25">
      <c r="B125" t="s">
        <v>449</v>
      </c>
      <c r="C125" t="s">
        <v>450</v>
      </c>
      <c r="D125" t="s">
        <v>364</v>
      </c>
      <c r="E125" s="5" t="s">
        <v>192</v>
      </c>
      <c r="F125" s="5" t="s">
        <v>192</v>
      </c>
      <c r="G125" s="5" t="s">
        <v>192</v>
      </c>
      <c r="H125" s="5" t="s">
        <v>192</v>
      </c>
      <c r="K125" s="5" t="s">
        <v>192</v>
      </c>
      <c r="N125" s="5" t="s">
        <v>192</v>
      </c>
      <c r="O125" s="5" t="s">
        <v>192</v>
      </c>
      <c r="U125" s="5" t="s">
        <v>192</v>
      </c>
      <c r="X125" s="5" t="s">
        <v>192</v>
      </c>
      <c r="Y125" s="5" t="s">
        <v>192</v>
      </c>
      <c r="Z125" s="5" t="s">
        <v>192</v>
      </c>
      <c r="AC125" s="5" t="s">
        <v>192</v>
      </c>
      <c r="AF125" s="5" t="s">
        <v>192</v>
      </c>
      <c r="AK125" s="5" t="s">
        <v>192</v>
      </c>
      <c r="AL125" s="5" t="s">
        <v>192</v>
      </c>
      <c r="AM125" s="5" t="s">
        <v>192</v>
      </c>
      <c r="AN125" s="5" t="s">
        <v>192</v>
      </c>
      <c r="AO125" s="5" t="s">
        <v>192</v>
      </c>
      <c r="AR125" s="5" t="s">
        <v>192</v>
      </c>
      <c r="CF125" t="s">
        <v>192</v>
      </c>
      <c r="CG125" t="s">
        <v>192</v>
      </c>
      <c r="CH125" t="s">
        <v>192</v>
      </c>
      <c r="CI125" t="s">
        <v>192</v>
      </c>
      <c r="CJ125" t="s">
        <v>192</v>
      </c>
      <c r="CK125" t="s">
        <v>192</v>
      </c>
    </row>
    <row r="126" spans="2:89" ht="15" customHeight="1" x14ac:dyDescent="0.25">
      <c r="B126" t="s">
        <v>451</v>
      </c>
      <c r="C126" t="s">
        <v>452</v>
      </c>
      <c r="D126" t="s">
        <v>364</v>
      </c>
      <c r="E126" s="5" t="s">
        <v>192</v>
      </c>
    </row>
    <row r="127" spans="2:89" ht="15" customHeight="1" x14ac:dyDescent="0.25">
      <c r="B127" t="s">
        <v>451</v>
      </c>
      <c r="C127" t="s">
        <v>453</v>
      </c>
      <c r="D127" t="s">
        <v>364</v>
      </c>
      <c r="E127" s="5" t="s">
        <v>192</v>
      </c>
    </row>
    <row r="128" spans="2:89" ht="15" customHeight="1" x14ac:dyDescent="0.25">
      <c r="B128" s="66" t="s">
        <v>454</v>
      </c>
      <c r="C128" s="66" t="s">
        <v>455</v>
      </c>
      <c r="D128" s="66" t="s">
        <v>195</v>
      </c>
      <c r="E128" s="5" t="s">
        <v>263</v>
      </c>
      <c r="Z128" s="5" t="s">
        <v>263</v>
      </c>
      <c r="AM128" s="5" t="s">
        <v>263</v>
      </c>
    </row>
    <row r="129" spans="2:39" ht="15" customHeight="1" x14ac:dyDescent="0.25">
      <c r="B129" s="66" t="s">
        <v>456</v>
      </c>
      <c r="C129" s="66" t="s">
        <v>457</v>
      </c>
      <c r="D129" s="66" t="s">
        <v>195</v>
      </c>
      <c r="E129" s="5" t="s">
        <v>263</v>
      </c>
      <c r="Z129" s="5" t="s">
        <v>263</v>
      </c>
      <c r="AM129" s="5" t="s">
        <v>263</v>
      </c>
    </row>
    <row r="130" spans="2:39" ht="15" customHeight="1" x14ac:dyDescent="0.25">
      <c r="B130" s="66" t="s">
        <v>458</v>
      </c>
      <c r="C130" s="66" t="s">
        <v>459</v>
      </c>
      <c r="D130" s="66" t="s">
        <v>195</v>
      </c>
      <c r="E130" s="5" t="s">
        <v>263</v>
      </c>
      <c r="Z130" s="5" t="s">
        <v>263</v>
      </c>
      <c r="AM130" s="5" t="s">
        <v>263</v>
      </c>
    </row>
    <row r="131" spans="2:39" ht="15" customHeight="1" x14ac:dyDescent="0.25">
      <c r="B131" s="66"/>
      <c r="C131" s="66"/>
      <c r="D131" s="66"/>
    </row>
  </sheetData>
  <sortState xmlns:xlrd2="http://schemas.microsoft.com/office/spreadsheetml/2017/richdata2" ref="BW71:BW77">
    <sortCondition ref="BW71:BW77"/>
  </sortState>
  <phoneticPr fontId="11" type="noConversion"/>
  <printOptions headings="1"/>
  <pageMargins left="0.7" right="0.7" top="0.75" bottom="0.75" header="0.3" footer="0.3"/>
  <pageSetup paperSize="8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Q357"/>
  <sheetViews>
    <sheetView topLeftCell="A59" zoomScaleNormal="100" workbookViewId="0">
      <selection activeCell="G3" sqref="G3"/>
    </sheetView>
  </sheetViews>
  <sheetFormatPr defaultColWidth="9.28515625" defaultRowHeight="15" x14ac:dyDescent="0.25"/>
  <cols>
    <col min="1" max="1" width="10.7109375" customWidth="1"/>
    <col min="2" max="2" width="24.28515625" customWidth="1"/>
    <col min="3" max="3" width="39.7109375" customWidth="1"/>
    <col min="4" max="5" width="34.28515625" customWidth="1"/>
    <col min="6" max="6" width="8.7109375" customWidth="1"/>
    <col min="7" max="7" width="25" customWidth="1"/>
    <col min="8" max="13" width="8.7109375" customWidth="1"/>
    <col min="14" max="17" width="30.28515625" customWidth="1"/>
    <col min="18" max="21" width="8.7109375" customWidth="1"/>
  </cols>
  <sheetData>
    <row r="1" spans="1:17" x14ac:dyDescent="0.25">
      <c r="A1" s="4" t="s">
        <v>460</v>
      </c>
    </row>
    <row r="2" spans="1:17" x14ac:dyDescent="0.25">
      <c r="A2" s="2" t="s">
        <v>461</v>
      </c>
      <c r="G2" s="4" t="s">
        <v>462</v>
      </c>
      <c r="K2" t="s">
        <v>463</v>
      </c>
      <c r="N2" s="4" t="s">
        <v>464</v>
      </c>
    </row>
    <row r="3" spans="1:17" x14ac:dyDescent="0.25">
      <c r="A3" s="3" t="s">
        <v>465</v>
      </c>
      <c r="B3" s="3" t="s">
        <v>2</v>
      </c>
      <c r="C3" s="3" t="s">
        <v>466</v>
      </c>
      <c r="D3" s="3" t="s">
        <v>467</v>
      </c>
      <c r="E3" s="3"/>
      <c r="G3" s="3" t="s">
        <v>468</v>
      </c>
      <c r="H3" s="17" t="s">
        <v>469</v>
      </c>
      <c r="I3" s="17" t="s">
        <v>470</v>
      </c>
      <c r="J3" s="17" t="s">
        <v>471</v>
      </c>
      <c r="K3" s="17" t="s">
        <v>472</v>
      </c>
      <c r="N3" s="4" t="s">
        <v>473</v>
      </c>
      <c r="O3" s="4" t="s">
        <v>468</v>
      </c>
      <c r="P3" s="4" t="s">
        <v>474</v>
      </c>
      <c r="Q3" s="4" t="s">
        <v>475</v>
      </c>
    </row>
    <row r="4" spans="1:17" x14ac:dyDescent="0.25">
      <c r="A4" t="s">
        <v>476</v>
      </c>
      <c r="B4" t="s">
        <v>477</v>
      </c>
      <c r="C4" t="s">
        <v>477</v>
      </c>
      <c r="F4" s="5"/>
      <c r="G4" t="s">
        <v>478</v>
      </c>
      <c r="H4" s="5" t="s">
        <v>479</v>
      </c>
      <c r="I4" s="5" t="s">
        <v>480</v>
      </c>
      <c r="J4" s="5">
        <v>4</v>
      </c>
      <c r="K4" s="5" t="s">
        <v>481</v>
      </c>
      <c r="N4" t="s">
        <v>482</v>
      </c>
      <c r="O4" t="s">
        <v>483</v>
      </c>
      <c r="P4" t="s">
        <v>484</v>
      </c>
      <c r="Q4" t="s">
        <v>485</v>
      </c>
    </row>
    <row r="5" spans="1:17" x14ac:dyDescent="0.25">
      <c r="A5" t="s">
        <v>486</v>
      </c>
      <c r="B5" t="s">
        <v>486</v>
      </c>
      <c r="C5" t="s">
        <v>487</v>
      </c>
      <c r="F5" s="5"/>
      <c r="G5" t="s">
        <v>488</v>
      </c>
      <c r="H5" s="5" t="s">
        <v>489</v>
      </c>
      <c r="I5" s="5" t="s">
        <v>490</v>
      </c>
      <c r="J5" s="5">
        <v>8</v>
      </c>
      <c r="K5" s="5" t="s">
        <v>491</v>
      </c>
      <c r="N5" t="s">
        <v>492</v>
      </c>
      <c r="O5" t="s">
        <v>483</v>
      </c>
      <c r="P5" t="s">
        <v>493</v>
      </c>
      <c r="Q5" t="s">
        <v>494</v>
      </c>
    </row>
    <row r="6" spans="1:17" x14ac:dyDescent="0.25">
      <c r="A6" t="s">
        <v>495</v>
      </c>
      <c r="B6" t="s">
        <v>496</v>
      </c>
      <c r="C6" t="s">
        <v>496</v>
      </c>
      <c r="F6" s="5"/>
      <c r="G6" t="s">
        <v>497</v>
      </c>
      <c r="H6" s="5" t="s">
        <v>498</v>
      </c>
      <c r="I6" s="5" t="s">
        <v>499</v>
      </c>
      <c r="J6" s="5">
        <v>12</v>
      </c>
      <c r="K6" s="5" t="s">
        <v>500</v>
      </c>
      <c r="N6" t="s">
        <v>501</v>
      </c>
      <c r="O6" t="s">
        <v>483</v>
      </c>
      <c r="P6" t="s">
        <v>493</v>
      </c>
      <c r="Q6" t="s">
        <v>502</v>
      </c>
    </row>
    <row r="7" spans="1:17" x14ac:dyDescent="0.25">
      <c r="A7" t="s">
        <v>503</v>
      </c>
      <c r="B7" t="s">
        <v>504</v>
      </c>
      <c r="C7" t="s">
        <v>505</v>
      </c>
      <c r="F7" s="5"/>
      <c r="G7" t="s">
        <v>506</v>
      </c>
      <c r="H7" s="5" t="s">
        <v>507</v>
      </c>
      <c r="I7" s="5" t="s">
        <v>508</v>
      </c>
      <c r="J7" s="5">
        <v>20</v>
      </c>
      <c r="K7" s="5" t="s">
        <v>491</v>
      </c>
      <c r="N7" t="s">
        <v>509</v>
      </c>
      <c r="O7" t="s">
        <v>483</v>
      </c>
      <c r="P7" t="s">
        <v>493</v>
      </c>
      <c r="Q7" t="s">
        <v>510</v>
      </c>
    </row>
    <row r="8" spans="1:17" x14ac:dyDescent="0.25">
      <c r="A8" t="s">
        <v>511</v>
      </c>
      <c r="B8" t="s">
        <v>512</v>
      </c>
      <c r="C8" t="s">
        <v>513</v>
      </c>
      <c r="F8" s="5"/>
      <c r="G8" t="s">
        <v>514</v>
      </c>
      <c r="H8" s="5" t="s">
        <v>515</v>
      </c>
      <c r="I8" s="5" t="s">
        <v>516</v>
      </c>
      <c r="J8" s="5">
        <v>24</v>
      </c>
      <c r="K8" s="5" t="s">
        <v>517</v>
      </c>
      <c r="N8" t="s">
        <v>518</v>
      </c>
      <c r="O8" t="s">
        <v>483</v>
      </c>
      <c r="P8" t="s">
        <v>493</v>
      </c>
      <c r="Q8" t="s">
        <v>519</v>
      </c>
    </row>
    <row r="9" spans="1:17" x14ac:dyDescent="0.25">
      <c r="A9" t="s">
        <v>491</v>
      </c>
      <c r="B9" t="s">
        <v>520</v>
      </c>
      <c r="C9" t="s">
        <v>521</v>
      </c>
      <c r="F9" s="5"/>
      <c r="G9" t="s">
        <v>522</v>
      </c>
      <c r="H9" s="5" t="s">
        <v>523</v>
      </c>
      <c r="I9" s="5" t="s">
        <v>524</v>
      </c>
      <c r="J9" s="5">
        <v>660</v>
      </c>
      <c r="K9" s="5" t="s">
        <v>503</v>
      </c>
      <c r="N9" t="s">
        <v>525</v>
      </c>
      <c r="O9" t="s">
        <v>483</v>
      </c>
      <c r="P9" t="s">
        <v>493</v>
      </c>
      <c r="Q9" t="s">
        <v>526</v>
      </c>
    </row>
    <row r="10" spans="1:17" x14ac:dyDescent="0.25">
      <c r="A10" t="s">
        <v>500</v>
      </c>
      <c r="B10" t="s">
        <v>527</v>
      </c>
      <c r="C10" t="s">
        <v>528</v>
      </c>
      <c r="F10" s="5"/>
      <c r="G10" t="s">
        <v>529</v>
      </c>
      <c r="H10" s="5" t="s">
        <v>530</v>
      </c>
      <c r="I10" s="5" t="s">
        <v>531</v>
      </c>
      <c r="J10" s="5">
        <v>28</v>
      </c>
      <c r="K10" s="5" t="s">
        <v>503</v>
      </c>
      <c r="N10" t="s">
        <v>532</v>
      </c>
      <c r="O10" t="s">
        <v>483</v>
      </c>
      <c r="P10" t="s">
        <v>533</v>
      </c>
      <c r="Q10" t="s">
        <v>534</v>
      </c>
    </row>
    <row r="11" spans="1:17" x14ac:dyDescent="0.25">
      <c r="A11" t="s">
        <v>517</v>
      </c>
      <c r="B11" t="s">
        <v>535</v>
      </c>
      <c r="C11" t="s">
        <v>536</v>
      </c>
      <c r="F11" s="5"/>
      <c r="G11" t="s">
        <v>537</v>
      </c>
      <c r="H11" s="5" t="s">
        <v>538</v>
      </c>
      <c r="I11" s="5" t="s">
        <v>539</v>
      </c>
      <c r="J11" s="5">
        <v>32</v>
      </c>
      <c r="K11" s="5" t="s">
        <v>503</v>
      </c>
      <c r="N11" t="s">
        <v>540</v>
      </c>
      <c r="O11" t="s">
        <v>483</v>
      </c>
      <c r="P11" t="s">
        <v>533</v>
      </c>
      <c r="Q11" t="s">
        <v>541</v>
      </c>
    </row>
    <row r="12" spans="1:17" x14ac:dyDescent="0.25">
      <c r="A12" t="s">
        <v>542</v>
      </c>
      <c r="B12" t="s">
        <v>543</v>
      </c>
      <c r="C12" t="s">
        <v>544</v>
      </c>
      <c r="F12" s="5"/>
      <c r="G12" t="s">
        <v>545</v>
      </c>
      <c r="H12" s="5" t="s">
        <v>546</v>
      </c>
      <c r="I12" s="5" t="s">
        <v>547</v>
      </c>
      <c r="J12" s="5">
        <v>51</v>
      </c>
      <c r="K12" s="5" t="s">
        <v>511</v>
      </c>
      <c r="N12" t="s">
        <v>548</v>
      </c>
      <c r="O12" t="s">
        <v>483</v>
      </c>
      <c r="P12" t="s">
        <v>533</v>
      </c>
      <c r="Q12" t="s">
        <v>549</v>
      </c>
    </row>
    <row r="13" spans="1:17" x14ac:dyDescent="0.25">
      <c r="A13" t="s">
        <v>550</v>
      </c>
      <c r="B13" t="s">
        <v>551</v>
      </c>
      <c r="C13" t="s">
        <v>551</v>
      </c>
      <c r="F13" s="5"/>
      <c r="G13" t="s">
        <v>552</v>
      </c>
      <c r="H13" s="5" t="s">
        <v>553</v>
      </c>
      <c r="I13" s="5" t="s">
        <v>554</v>
      </c>
      <c r="J13" s="5">
        <v>533</v>
      </c>
      <c r="K13" s="5" t="s">
        <v>503</v>
      </c>
      <c r="N13" t="s">
        <v>555</v>
      </c>
      <c r="O13" t="s">
        <v>483</v>
      </c>
      <c r="P13" t="s">
        <v>533</v>
      </c>
      <c r="Q13" t="s">
        <v>556</v>
      </c>
    </row>
    <row r="14" spans="1:17" x14ac:dyDescent="0.25">
      <c r="A14" t="s">
        <v>557</v>
      </c>
      <c r="B14" t="s">
        <v>558</v>
      </c>
      <c r="C14" t="s">
        <v>559</v>
      </c>
      <c r="D14" s="1"/>
      <c r="E14" s="1"/>
      <c r="F14" s="5"/>
      <c r="G14" t="s">
        <v>560</v>
      </c>
      <c r="H14" s="5" t="s">
        <v>561</v>
      </c>
      <c r="I14" s="5" t="s">
        <v>562</v>
      </c>
      <c r="J14" s="5">
        <v>36</v>
      </c>
      <c r="K14" s="5" t="s">
        <v>563</v>
      </c>
      <c r="N14" t="s">
        <v>564</v>
      </c>
      <c r="O14" t="s">
        <v>483</v>
      </c>
      <c r="P14" t="s">
        <v>533</v>
      </c>
      <c r="Q14" t="s">
        <v>565</v>
      </c>
    </row>
    <row r="15" spans="1:17" x14ac:dyDescent="0.25">
      <c r="A15" t="s">
        <v>481</v>
      </c>
      <c r="B15" t="s">
        <v>566</v>
      </c>
      <c r="C15" t="s">
        <v>567</v>
      </c>
      <c r="D15" s="1"/>
      <c r="E15" s="1"/>
      <c r="F15" s="5"/>
      <c r="G15" t="s">
        <v>568</v>
      </c>
      <c r="H15" s="5" t="s">
        <v>569</v>
      </c>
      <c r="I15" s="5" t="s">
        <v>570</v>
      </c>
      <c r="J15" s="5">
        <v>40</v>
      </c>
      <c r="K15" s="5" t="s">
        <v>491</v>
      </c>
      <c r="N15" t="s">
        <v>571</v>
      </c>
      <c r="O15" t="s">
        <v>572</v>
      </c>
      <c r="P15" t="s">
        <v>573</v>
      </c>
      <c r="Q15" t="s">
        <v>574</v>
      </c>
    </row>
    <row r="16" spans="1:17" x14ac:dyDescent="0.25">
      <c r="A16" t="s">
        <v>563</v>
      </c>
      <c r="B16" t="s">
        <v>575</v>
      </c>
      <c r="C16" t="s">
        <v>575</v>
      </c>
      <c r="D16" s="1"/>
      <c r="E16" s="1"/>
      <c r="F16" s="5"/>
      <c r="G16" t="s">
        <v>576</v>
      </c>
      <c r="H16" s="5" t="s">
        <v>577</v>
      </c>
      <c r="I16" s="5" t="s">
        <v>578</v>
      </c>
      <c r="J16" s="5">
        <v>31</v>
      </c>
      <c r="K16" s="5" t="s">
        <v>511</v>
      </c>
      <c r="N16" t="s">
        <v>579</v>
      </c>
      <c r="O16" t="s">
        <v>572</v>
      </c>
      <c r="P16" t="s">
        <v>573</v>
      </c>
      <c r="Q16" t="s">
        <v>580</v>
      </c>
    </row>
    <row r="17" spans="1:17" x14ac:dyDescent="0.25">
      <c r="D17" s="1"/>
      <c r="E17" s="1"/>
      <c r="G17" t="s">
        <v>581</v>
      </c>
      <c r="H17" s="5" t="s">
        <v>582</v>
      </c>
      <c r="I17" s="5" t="s">
        <v>583</v>
      </c>
      <c r="J17" s="5">
        <v>44</v>
      </c>
      <c r="K17" s="5" t="s">
        <v>503</v>
      </c>
      <c r="N17" t="s">
        <v>584</v>
      </c>
      <c r="O17" t="s">
        <v>572</v>
      </c>
      <c r="P17" t="s">
        <v>573</v>
      </c>
      <c r="Q17" t="s">
        <v>585</v>
      </c>
    </row>
    <row r="18" spans="1:17" x14ac:dyDescent="0.25">
      <c r="A18" t="s">
        <v>586</v>
      </c>
      <c r="B18" t="s">
        <v>587</v>
      </c>
      <c r="C18" t="s">
        <v>588</v>
      </c>
      <c r="D18" s="1" t="s">
        <v>589</v>
      </c>
      <c r="E18" s="1"/>
      <c r="G18" t="s">
        <v>590</v>
      </c>
      <c r="H18" s="5" t="s">
        <v>591</v>
      </c>
      <c r="I18" s="5" t="s">
        <v>592</v>
      </c>
      <c r="J18" s="5">
        <v>48</v>
      </c>
      <c r="K18" s="5" t="s">
        <v>500</v>
      </c>
      <c r="N18" t="s">
        <v>593</v>
      </c>
      <c r="O18" t="s">
        <v>572</v>
      </c>
      <c r="P18" t="s">
        <v>573</v>
      </c>
      <c r="Q18" t="s">
        <v>594</v>
      </c>
    </row>
    <row r="19" spans="1:17" x14ac:dyDescent="0.25">
      <c r="A19" t="s">
        <v>595</v>
      </c>
      <c r="B19" t="s">
        <v>596</v>
      </c>
      <c r="C19" t="s">
        <v>597</v>
      </c>
      <c r="D19" s="1" t="s">
        <v>598</v>
      </c>
      <c r="E19" s="1"/>
      <c r="G19" t="s">
        <v>599</v>
      </c>
      <c r="H19" s="5" t="s">
        <v>600</v>
      </c>
      <c r="I19" s="5" t="s">
        <v>601</v>
      </c>
      <c r="J19" s="5">
        <v>50</v>
      </c>
      <c r="K19" s="5" t="s">
        <v>481</v>
      </c>
      <c r="N19" t="s">
        <v>602</v>
      </c>
      <c r="O19" t="s">
        <v>572</v>
      </c>
      <c r="P19" t="s">
        <v>603</v>
      </c>
      <c r="Q19" t="s">
        <v>604</v>
      </c>
    </row>
    <row r="20" spans="1:17" x14ac:dyDescent="0.25">
      <c r="A20" t="s">
        <v>605</v>
      </c>
      <c r="B20" t="s">
        <v>606</v>
      </c>
      <c r="C20" t="s">
        <v>606</v>
      </c>
      <c r="D20" s="1" t="s">
        <v>607</v>
      </c>
      <c r="E20" s="1"/>
      <c r="G20" t="s">
        <v>608</v>
      </c>
      <c r="H20" s="5" t="s">
        <v>609</v>
      </c>
      <c r="I20" s="5" t="s">
        <v>610</v>
      </c>
      <c r="J20" s="5">
        <v>52</v>
      </c>
      <c r="K20" s="5" t="s">
        <v>503</v>
      </c>
      <c r="N20" t="s">
        <v>611</v>
      </c>
      <c r="O20" t="s">
        <v>572</v>
      </c>
      <c r="P20" t="s">
        <v>603</v>
      </c>
      <c r="Q20" t="s">
        <v>612</v>
      </c>
    </row>
    <row r="21" spans="1:17" x14ac:dyDescent="0.25">
      <c r="A21" t="s">
        <v>613</v>
      </c>
      <c r="B21" t="s">
        <v>614</v>
      </c>
      <c r="C21" t="s">
        <v>614</v>
      </c>
      <c r="D21" s="1" t="s">
        <v>615</v>
      </c>
      <c r="E21" s="1"/>
      <c r="G21" t="s">
        <v>616</v>
      </c>
      <c r="H21" s="5" t="s">
        <v>617</v>
      </c>
      <c r="I21" s="5" t="s">
        <v>618</v>
      </c>
      <c r="J21" s="5">
        <v>112</v>
      </c>
      <c r="K21" s="5" t="s">
        <v>511</v>
      </c>
      <c r="N21" t="s">
        <v>619</v>
      </c>
      <c r="O21" t="s">
        <v>620</v>
      </c>
      <c r="P21" t="s">
        <v>620</v>
      </c>
      <c r="Q21" t="s">
        <v>621</v>
      </c>
    </row>
    <row r="22" spans="1:17" x14ac:dyDescent="0.25">
      <c r="G22" t="s">
        <v>622</v>
      </c>
      <c r="H22" s="5" t="s">
        <v>623</v>
      </c>
      <c r="I22" s="5" t="s">
        <v>624</v>
      </c>
      <c r="J22" s="5">
        <v>56</v>
      </c>
      <c r="K22" s="5" t="s">
        <v>491</v>
      </c>
      <c r="N22" t="s">
        <v>625</v>
      </c>
      <c r="O22" t="s">
        <v>620</v>
      </c>
      <c r="P22" t="s">
        <v>620</v>
      </c>
      <c r="Q22" t="s">
        <v>626</v>
      </c>
    </row>
    <row r="23" spans="1:17" x14ac:dyDescent="0.25">
      <c r="A23" t="s">
        <v>9</v>
      </c>
      <c r="B23" t="s">
        <v>627</v>
      </c>
      <c r="C23" t="s">
        <v>627</v>
      </c>
      <c r="G23" t="s">
        <v>628</v>
      </c>
      <c r="H23" s="5" t="s">
        <v>629</v>
      </c>
      <c r="I23" s="5" t="s">
        <v>630</v>
      </c>
      <c r="J23" s="5">
        <v>84</v>
      </c>
      <c r="K23" s="5" t="s">
        <v>503</v>
      </c>
      <c r="N23" t="s">
        <v>631</v>
      </c>
      <c r="O23" t="s">
        <v>620</v>
      </c>
      <c r="P23" t="s">
        <v>620</v>
      </c>
      <c r="Q23" t="s">
        <v>632</v>
      </c>
    </row>
    <row r="24" spans="1:17" x14ac:dyDescent="0.25">
      <c r="G24" t="s">
        <v>633</v>
      </c>
      <c r="H24" s="5" t="s">
        <v>634</v>
      </c>
      <c r="I24" s="5" t="s">
        <v>635</v>
      </c>
      <c r="J24" s="5">
        <v>204</v>
      </c>
      <c r="K24" s="5" t="s">
        <v>517</v>
      </c>
      <c r="N24" t="s">
        <v>636</v>
      </c>
      <c r="O24" t="s">
        <v>620</v>
      </c>
      <c r="P24" t="s">
        <v>620</v>
      </c>
      <c r="Q24" t="s">
        <v>637</v>
      </c>
    </row>
    <row r="25" spans="1:17" x14ac:dyDescent="0.25">
      <c r="A25" s="4" t="s">
        <v>638</v>
      </c>
      <c r="G25" t="s">
        <v>639</v>
      </c>
      <c r="H25" s="5" t="s">
        <v>640</v>
      </c>
      <c r="I25" s="5" t="s">
        <v>641</v>
      </c>
      <c r="J25" s="5">
        <v>60</v>
      </c>
      <c r="K25" s="5" t="s">
        <v>503</v>
      </c>
      <c r="N25" t="s">
        <v>642</v>
      </c>
      <c r="O25" t="s">
        <v>620</v>
      </c>
      <c r="P25" t="s">
        <v>620</v>
      </c>
      <c r="Q25" t="s">
        <v>643</v>
      </c>
    </row>
    <row r="26" spans="1:17" x14ac:dyDescent="0.25">
      <c r="A26" s="35" t="s">
        <v>644</v>
      </c>
      <c r="B26" t="s">
        <v>638</v>
      </c>
      <c r="C26" t="s">
        <v>645</v>
      </c>
      <c r="G26" t="s">
        <v>646</v>
      </c>
      <c r="H26" s="5" t="s">
        <v>647</v>
      </c>
      <c r="I26" s="5" t="s">
        <v>648</v>
      </c>
      <c r="J26" s="5">
        <v>64</v>
      </c>
      <c r="K26" s="5" t="s">
        <v>481</v>
      </c>
      <c r="N26" t="s">
        <v>649</v>
      </c>
      <c r="O26" t="s">
        <v>620</v>
      </c>
      <c r="P26" t="s">
        <v>620</v>
      </c>
      <c r="Q26" t="s">
        <v>650</v>
      </c>
    </row>
    <row r="27" spans="1:17" x14ac:dyDescent="0.25">
      <c r="A27" s="35" t="s">
        <v>570</v>
      </c>
      <c r="B27" t="s">
        <v>568</v>
      </c>
      <c r="G27" t="s">
        <v>651</v>
      </c>
      <c r="H27" s="5" t="s">
        <v>652</v>
      </c>
      <c r="I27" s="5" t="s">
        <v>653</v>
      </c>
      <c r="J27" s="5">
        <v>68</v>
      </c>
      <c r="K27" s="5" t="s">
        <v>503</v>
      </c>
      <c r="N27" t="s">
        <v>654</v>
      </c>
      <c r="O27" t="s">
        <v>620</v>
      </c>
      <c r="P27" t="s">
        <v>620</v>
      </c>
      <c r="Q27" t="s">
        <v>655</v>
      </c>
    </row>
    <row r="28" spans="1:17" x14ac:dyDescent="0.25">
      <c r="A28" s="35" t="s">
        <v>624</v>
      </c>
      <c r="B28" t="s">
        <v>622</v>
      </c>
      <c r="G28" t="s">
        <v>656</v>
      </c>
      <c r="H28" s="5" t="s">
        <v>657</v>
      </c>
      <c r="I28" s="5" t="s">
        <v>658</v>
      </c>
      <c r="J28" s="5">
        <v>70</v>
      </c>
      <c r="K28" s="5" t="s">
        <v>491</v>
      </c>
      <c r="N28" t="s">
        <v>659</v>
      </c>
      <c r="O28" t="s">
        <v>620</v>
      </c>
      <c r="P28" t="s">
        <v>620</v>
      </c>
      <c r="Q28" t="s">
        <v>660</v>
      </c>
    </row>
    <row r="29" spans="1:17" x14ac:dyDescent="0.25">
      <c r="A29" s="35" t="s">
        <v>661</v>
      </c>
      <c r="B29" t="s">
        <v>572</v>
      </c>
      <c r="G29" t="s">
        <v>662</v>
      </c>
      <c r="H29" s="5" t="s">
        <v>663</v>
      </c>
      <c r="I29" s="5" t="s">
        <v>664</v>
      </c>
      <c r="J29" s="5">
        <v>72</v>
      </c>
      <c r="K29" s="5" t="s">
        <v>517</v>
      </c>
      <c r="N29" t="s">
        <v>665</v>
      </c>
      <c r="O29" t="s">
        <v>666</v>
      </c>
      <c r="P29" t="s">
        <v>666</v>
      </c>
      <c r="Q29" t="s">
        <v>667</v>
      </c>
    </row>
    <row r="30" spans="1:17" x14ac:dyDescent="0.25">
      <c r="A30" s="35" t="s">
        <v>668</v>
      </c>
      <c r="B30" t="s">
        <v>669</v>
      </c>
      <c r="G30" t="s">
        <v>496</v>
      </c>
      <c r="H30" s="5" t="s">
        <v>670</v>
      </c>
      <c r="I30" s="5" t="s">
        <v>495</v>
      </c>
      <c r="J30" s="5">
        <v>76</v>
      </c>
      <c r="K30" s="5" t="s">
        <v>495</v>
      </c>
      <c r="N30" t="s">
        <v>671</v>
      </c>
      <c r="O30" t="s">
        <v>666</v>
      </c>
      <c r="P30" t="s">
        <v>666</v>
      </c>
      <c r="Q30" t="s">
        <v>672</v>
      </c>
    </row>
    <row r="31" spans="1:17" x14ac:dyDescent="0.25">
      <c r="A31" s="35" t="s">
        <v>673</v>
      </c>
      <c r="B31" t="s">
        <v>674</v>
      </c>
      <c r="G31" t="s">
        <v>675</v>
      </c>
      <c r="H31" s="5" t="s">
        <v>676</v>
      </c>
      <c r="I31" s="5" t="s">
        <v>677</v>
      </c>
      <c r="J31" s="5">
        <v>92</v>
      </c>
      <c r="K31" s="5" t="s">
        <v>503</v>
      </c>
      <c r="N31" t="s">
        <v>678</v>
      </c>
      <c r="O31" t="s">
        <v>666</v>
      </c>
      <c r="P31" t="s">
        <v>666</v>
      </c>
      <c r="Q31" t="s">
        <v>679</v>
      </c>
    </row>
    <row r="32" spans="1:17" x14ac:dyDescent="0.25">
      <c r="A32" s="35" t="s">
        <v>680</v>
      </c>
      <c r="B32" t="s">
        <v>681</v>
      </c>
      <c r="G32" t="s">
        <v>682</v>
      </c>
      <c r="H32" s="5" t="s">
        <v>683</v>
      </c>
      <c r="I32" s="5" t="s">
        <v>684</v>
      </c>
      <c r="J32" s="5">
        <v>96</v>
      </c>
      <c r="K32" s="5" t="s">
        <v>557</v>
      </c>
      <c r="N32" t="s">
        <v>685</v>
      </c>
      <c r="O32" t="s">
        <v>666</v>
      </c>
      <c r="P32" t="s">
        <v>666</v>
      </c>
      <c r="Q32" t="s">
        <v>686</v>
      </c>
    </row>
    <row r="33" spans="1:17" x14ac:dyDescent="0.25">
      <c r="A33" s="35" t="s">
        <v>687</v>
      </c>
      <c r="B33" t="s">
        <v>688</v>
      </c>
      <c r="G33" t="s">
        <v>572</v>
      </c>
      <c r="H33" s="5" t="s">
        <v>689</v>
      </c>
      <c r="I33" s="5" t="s">
        <v>661</v>
      </c>
      <c r="J33" s="5">
        <v>100</v>
      </c>
      <c r="K33" s="5" t="s">
        <v>491</v>
      </c>
      <c r="N33" t="s">
        <v>690</v>
      </c>
      <c r="O33" t="s">
        <v>666</v>
      </c>
      <c r="P33" t="s">
        <v>666</v>
      </c>
      <c r="Q33" t="s">
        <v>691</v>
      </c>
    </row>
    <row r="34" spans="1:17" x14ac:dyDescent="0.25">
      <c r="A34" s="35" t="s">
        <v>692</v>
      </c>
      <c r="B34" t="s">
        <v>693</v>
      </c>
      <c r="G34" t="s">
        <v>694</v>
      </c>
      <c r="H34" s="5" t="s">
        <v>695</v>
      </c>
      <c r="I34" s="5" t="s">
        <v>696</v>
      </c>
      <c r="J34" s="5">
        <v>854</v>
      </c>
      <c r="K34" s="5" t="s">
        <v>517</v>
      </c>
      <c r="N34" t="s">
        <v>697</v>
      </c>
      <c r="O34" t="s">
        <v>698</v>
      </c>
      <c r="P34" t="s">
        <v>699</v>
      </c>
      <c r="Q34" t="s">
        <v>700</v>
      </c>
    </row>
    <row r="35" spans="1:17" x14ac:dyDescent="0.25">
      <c r="A35" s="35" t="s">
        <v>701</v>
      </c>
      <c r="B35" t="s">
        <v>702</v>
      </c>
      <c r="G35" t="s">
        <v>703</v>
      </c>
      <c r="H35" s="5" t="s">
        <v>704</v>
      </c>
      <c r="I35" s="5" t="s">
        <v>705</v>
      </c>
      <c r="J35" s="5">
        <v>108</v>
      </c>
      <c r="K35" s="5" t="s">
        <v>517</v>
      </c>
      <c r="N35" t="s">
        <v>706</v>
      </c>
      <c r="O35" t="s">
        <v>698</v>
      </c>
      <c r="P35" t="s">
        <v>699</v>
      </c>
      <c r="Q35" t="s">
        <v>707</v>
      </c>
    </row>
    <row r="36" spans="1:17" x14ac:dyDescent="0.25">
      <c r="A36" s="35" t="s">
        <v>708</v>
      </c>
      <c r="B36" t="s">
        <v>709</v>
      </c>
      <c r="G36" t="s">
        <v>710</v>
      </c>
      <c r="H36" s="5" t="s">
        <v>711</v>
      </c>
      <c r="I36" s="5" t="s">
        <v>712</v>
      </c>
      <c r="J36" s="5">
        <v>116</v>
      </c>
      <c r="K36" s="5" t="s">
        <v>557</v>
      </c>
      <c r="N36" t="s">
        <v>713</v>
      </c>
      <c r="O36" t="s">
        <v>698</v>
      </c>
      <c r="P36" t="s">
        <v>699</v>
      </c>
      <c r="Q36" t="s">
        <v>714</v>
      </c>
    </row>
    <row r="37" spans="1:17" x14ac:dyDescent="0.25">
      <c r="A37" s="35" t="s">
        <v>715</v>
      </c>
      <c r="B37" t="s">
        <v>716</v>
      </c>
      <c r="G37" t="s">
        <v>717</v>
      </c>
      <c r="H37" s="5" t="s">
        <v>718</v>
      </c>
      <c r="I37" s="5" t="s">
        <v>719</v>
      </c>
      <c r="J37" s="5">
        <v>120</v>
      </c>
      <c r="K37" s="5" t="s">
        <v>517</v>
      </c>
      <c r="N37" t="s">
        <v>720</v>
      </c>
      <c r="O37" t="s">
        <v>698</v>
      </c>
      <c r="P37" t="s">
        <v>699</v>
      </c>
      <c r="Q37" t="s">
        <v>721</v>
      </c>
    </row>
    <row r="38" spans="1:17" x14ac:dyDescent="0.25">
      <c r="A38" s="35" t="s">
        <v>722</v>
      </c>
      <c r="B38" t="s">
        <v>723</v>
      </c>
      <c r="G38" t="s">
        <v>477</v>
      </c>
      <c r="H38" s="5" t="s">
        <v>724</v>
      </c>
      <c r="I38" s="5" t="s">
        <v>476</v>
      </c>
      <c r="J38" s="5">
        <v>124</v>
      </c>
      <c r="K38" s="5" t="s">
        <v>476</v>
      </c>
      <c r="N38" t="s">
        <v>725</v>
      </c>
      <c r="O38" t="s">
        <v>698</v>
      </c>
      <c r="P38" t="s">
        <v>726</v>
      </c>
      <c r="Q38" t="s">
        <v>727</v>
      </c>
    </row>
    <row r="39" spans="1:17" x14ac:dyDescent="0.25">
      <c r="A39" s="35" t="s">
        <v>728</v>
      </c>
      <c r="B39" t="s">
        <v>729</v>
      </c>
      <c r="G39" t="s">
        <v>730</v>
      </c>
      <c r="H39" s="5" t="s">
        <v>731</v>
      </c>
      <c r="I39" s="5" t="s">
        <v>732</v>
      </c>
      <c r="J39" s="5">
        <v>132</v>
      </c>
      <c r="K39" s="5" t="s">
        <v>517</v>
      </c>
      <c r="N39" t="s">
        <v>733</v>
      </c>
      <c r="O39" t="s">
        <v>698</v>
      </c>
      <c r="P39" t="s">
        <v>726</v>
      </c>
      <c r="Q39" t="s">
        <v>734</v>
      </c>
    </row>
    <row r="40" spans="1:17" x14ac:dyDescent="0.25">
      <c r="A40" s="35" t="s">
        <v>735</v>
      </c>
      <c r="B40" t="s">
        <v>736</v>
      </c>
      <c r="G40" t="s">
        <v>737</v>
      </c>
      <c r="H40" s="5" t="s">
        <v>738</v>
      </c>
      <c r="I40" s="5" t="s">
        <v>739</v>
      </c>
      <c r="J40" s="5">
        <v>136</v>
      </c>
      <c r="K40" s="5" t="s">
        <v>503</v>
      </c>
      <c r="N40" t="s">
        <v>740</v>
      </c>
      <c r="O40" t="s">
        <v>698</v>
      </c>
      <c r="P40" t="s">
        <v>726</v>
      </c>
      <c r="Q40" t="s">
        <v>741</v>
      </c>
    </row>
    <row r="41" spans="1:17" x14ac:dyDescent="0.25">
      <c r="A41" s="35" t="s">
        <v>742</v>
      </c>
      <c r="B41" t="s">
        <v>743</v>
      </c>
      <c r="G41" t="s">
        <v>744</v>
      </c>
      <c r="H41" s="5" t="s">
        <v>745</v>
      </c>
      <c r="I41" s="5" t="s">
        <v>746</v>
      </c>
      <c r="J41" s="5">
        <v>140</v>
      </c>
      <c r="K41" s="5" t="s">
        <v>517</v>
      </c>
      <c r="N41" t="s">
        <v>747</v>
      </c>
      <c r="O41" t="s">
        <v>698</v>
      </c>
      <c r="P41" t="s">
        <v>726</v>
      </c>
      <c r="Q41" t="s">
        <v>748</v>
      </c>
    </row>
    <row r="42" spans="1:17" x14ac:dyDescent="0.25">
      <c r="A42" s="35" t="s">
        <v>749</v>
      </c>
      <c r="B42" t="s">
        <v>750</v>
      </c>
      <c r="G42" t="s">
        <v>751</v>
      </c>
      <c r="H42" s="5" t="s">
        <v>752</v>
      </c>
      <c r="I42" s="5" t="s">
        <v>753</v>
      </c>
      <c r="J42" s="5">
        <v>148</v>
      </c>
      <c r="K42" s="5" t="s">
        <v>517</v>
      </c>
      <c r="N42" t="s">
        <v>754</v>
      </c>
      <c r="O42" t="s">
        <v>698</v>
      </c>
      <c r="P42" t="s">
        <v>726</v>
      </c>
      <c r="Q42" t="s">
        <v>755</v>
      </c>
    </row>
    <row r="43" spans="1:17" x14ac:dyDescent="0.25">
      <c r="A43" s="35" t="s">
        <v>756</v>
      </c>
      <c r="B43" t="s">
        <v>757</v>
      </c>
      <c r="G43" t="s">
        <v>758</v>
      </c>
      <c r="H43" s="5" t="s">
        <v>759</v>
      </c>
      <c r="I43" s="5" t="s">
        <v>760</v>
      </c>
      <c r="J43" s="5">
        <v>152</v>
      </c>
      <c r="K43" s="5" t="s">
        <v>503</v>
      </c>
      <c r="N43" t="s">
        <v>761</v>
      </c>
      <c r="O43" t="s">
        <v>698</v>
      </c>
      <c r="P43" t="s">
        <v>726</v>
      </c>
      <c r="Q43" t="s">
        <v>762</v>
      </c>
    </row>
    <row r="44" spans="1:17" x14ac:dyDescent="0.25">
      <c r="A44" s="35" t="s">
        <v>763</v>
      </c>
      <c r="B44" t="s">
        <v>764</v>
      </c>
      <c r="G44" t="s">
        <v>543</v>
      </c>
      <c r="H44" s="5" t="s">
        <v>765</v>
      </c>
      <c r="I44" s="5" t="s">
        <v>542</v>
      </c>
      <c r="J44" s="5">
        <v>156</v>
      </c>
      <c r="K44" s="5" t="s">
        <v>542</v>
      </c>
      <c r="N44" t="s">
        <v>766</v>
      </c>
      <c r="O44" t="s">
        <v>698</v>
      </c>
      <c r="P44" t="s">
        <v>726</v>
      </c>
      <c r="Q44" t="s">
        <v>767</v>
      </c>
    </row>
    <row r="45" spans="1:17" x14ac:dyDescent="0.25">
      <c r="A45" s="35" t="s">
        <v>768</v>
      </c>
      <c r="B45" t="s">
        <v>769</v>
      </c>
      <c r="G45" t="s">
        <v>770</v>
      </c>
      <c r="H45" s="5" t="s">
        <v>771</v>
      </c>
      <c r="I45" s="5" t="s">
        <v>772</v>
      </c>
      <c r="J45" s="5">
        <v>170</v>
      </c>
      <c r="K45" s="5" t="s">
        <v>503</v>
      </c>
      <c r="N45" t="s">
        <v>773</v>
      </c>
      <c r="O45" t="s">
        <v>698</v>
      </c>
      <c r="P45" t="s">
        <v>774</v>
      </c>
      <c r="Q45" t="s">
        <v>774</v>
      </c>
    </row>
    <row r="46" spans="1:17" x14ac:dyDescent="0.25">
      <c r="A46" s="35" t="s">
        <v>775</v>
      </c>
      <c r="B46" t="s">
        <v>776</v>
      </c>
      <c r="G46" t="s">
        <v>777</v>
      </c>
      <c r="H46" s="5" t="s">
        <v>778</v>
      </c>
      <c r="I46" s="5" t="s">
        <v>779</v>
      </c>
      <c r="J46" s="5">
        <v>174</v>
      </c>
      <c r="K46" s="5" t="s">
        <v>517</v>
      </c>
      <c r="N46" t="s">
        <v>780</v>
      </c>
      <c r="O46" t="s">
        <v>698</v>
      </c>
      <c r="P46" t="s">
        <v>781</v>
      </c>
      <c r="Q46" t="s">
        <v>781</v>
      </c>
    </row>
    <row r="47" spans="1:17" x14ac:dyDescent="0.25">
      <c r="A47" s="35" t="s">
        <v>169</v>
      </c>
      <c r="B47" t="s">
        <v>782</v>
      </c>
      <c r="G47" t="s">
        <v>783</v>
      </c>
      <c r="H47" s="5" t="s">
        <v>784</v>
      </c>
      <c r="I47" s="5" t="s">
        <v>785</v>
      </c>
      <c r="J47" s="5">
        <v>178</v>
      </c>
      <c r="K47" s="5" t="s">
        <v>517</v>
      </c>
      <c r="N47" t="s">
        <v>786</v>
      </c>
      <c r="O47" t="s">
        <v>698</v>
      </c>
      <c r="P47" t="s">
        <v>787</v>
      </c>
      <c r="Q47" t="s">
        <v>787</v>
      </c>
    </row>
    <row r="48" spans="1:17" x14ac:dyDescent="0.25">
      <c r="A48" s="35" t="s">
        <v>788</v>
      </c>
      <c r="B48" t="s">
        <v>789</v>
      </c>
      <c r="G48" t="s">
        <v>790</v>
      </c>
      <c r="H48" s="5" t="s">
        <v>791</v>
      </c>
      <c r="I48" s="5" t="s">
        <v>792</v>
      </c>
      <c r="J48" s="5">
        <v>184</v>
      </c>
      <c r="K48" s="5" t="s">
        <v>481</v>
      </c>
      <c r="N48" t="s">
        <v>793</v>
      </c>
      <c r="O48" t="s">
        <v>698</v>
      </c>
      <c r="P48" t="s">
        <v>794</v>
      </c>
      <c r="Q48" t="s">
        <v>794</v>
      </c>
    </row>
    <row r="49" spans="1:17" x14ac:dyDescent="0.25">
      <c r="A49" s="35" t="s">
        <v>795</v>
      </c>
      <c r="B49" t="s">
        <v>796</v>
      </c>
      <c r="G49" t="s">
        <v>797</v>
      </c>
      <c r="H49" s="5" t="s">
        <v>798</v>
      </c>
      <c r="I49" s="5" t="s">
        <v>799</v>
      </c>
      <c r="J49" s="5">
        <v>188</v>
      </c>
      <c r="K49" s="5" t="s">
        <v>503</v>
      </c>
      <c r="N49" t="s">
        <v>800</v>
      </c>
      <c r="O49" t="s">
        <v>698</v>
      </c>
      <c r="P49" t="s">
        <v>801</v>
      </c>
      <c r="Q49" t="s">
        <v>802</v>
      </c>
    </row>
    <row r="50" spans="1:17" x14ac:dyDescent="0.25">
      <c r="A50" s="35" t="s">
        <v>803</v>
      </c>
      <c r="B50" t="s">
        <v>804</v>
      </c>
      <c r="G50" t="s">
        <v>805</v>
      </c>
      <c r="H50" s="5" t="s">
        <v>806</v>
      </c>
      <c r="I50" s="5" t="s">
        <v>807</v>
      </c>
      <c r="J50" s="5">
        <v>384</v>
      </c>
      <c r="K50" s="5" t="s">
        <v>517</v>
      </c>
      <c r="N50" t="s">
        <v>808</v>
      </c>
      <c r="O50" t="s">
        <v>698</v>
      </c>
      <c r="P50" t="s">
        <v>801</v>
      </c>
      <c r="Q50" t="s">
        <v>809</v>
      </c>
    </row>
    <row r="51" spans="1:17" x14ac:dyDescent="0.25">
      <c r="A51" s="35" t="s">
        <v>810</v>
      </c>
      <c r="B51" t="s">
        <v>811</v>
      </c>
      <c r="G51" t="s">
        <v>729</v>
      </c>
      <c r="H51" s="5" t="s">
        <v>812</v>
      </c>
      <c r="I51" s="5" t="s">
        <v>728</v>
      </c>
      <c r="J51" s="5">
        <v>191</v>
      </c>
      <c r="K51" s="5" t="s">
        <v>491</v>
      </c>
      <c r="N51" t="s">
        <v>813</v>
      </c>
      <c r="O51" t="s">
        <v>698</v>
      </c>
      <c r="P51" t="s">
        <v>801</v>
      </c>
      <c r="Q51" t="s">
        <v>814</v>
      </c>
    </row>
    <row r="52" spans="1:17" x14ac:dyDescent="0.25">
      <c r="A52" s="35" t="s">
        <v>815</v>
      </c>
      <c r="B52" t="s">
        <v>816</v>
      </c>
      <c r="G52" t="s">
        <v>817</v>
      </c>
      <c r="H52" s="5" t="s">
        <v>818</v>
      </c>
      <c r="I52" s="5" t="s">
        <v>819</v>
      </c>
      <c r="J52" s="5">
        <v>192</v>
      </c>
      <c r="K52" s="5" t="s">
        <v>503</v>
      </c>
      <c r="N52" t="s">
        <v>820</v>
      </c>
      <c r="O52" t="s">
        <v>698</v>
      </c>
      <c r="P52" t="s">
        <v>821</v>
      </c>
      <c r="Q52" t="s">
        <v>821</v>
      </c>
    </row>
    <row r="53" spans="1:17" x14ac:dyDescent="0.25">
      <c r="A53" s="35" t="s">
        <v>822</v>
      </c>
      <c r="B53" t="s">
        <v>823</v>
      </c>
      <c r="G53" t="s">
        <v>669</v>
      </c>
      <c r="H53" s="5" t="s">
        <v>824</v>
      </c>
      <c r="I53" s="5" t="s">
        <v>668</v>
      </c>
      <c r="J53" s="5">
        <v>196</v>
      </c>
      <c r="K53" s="5" t="s">
        <v>491</v>
      </c>
      <c r="N53" t="s">
        <v>825</v>
      </c>
      <c r="O53" t="s">
        <v>698</v>
      </c>
      <c r="P53" t="s">
        <v>826</v>
      </c>
      <c r="Q53" t="s">
        <v>827</v>
      </c>
    </row>
    <row r="54" spans="1:17" x14ac:dyDescent="0.25">
      <c r="A54" s="35" t="s">
        <v>828</v>
      </c>
      <c r="B54" t="s">
        <v>829</v>
      </c>
      <c r="G54" t="s">
        <v>674</v>
      </c>
      <c r="H54" s="5" t="s">
        <v>830</v>
      </c>
      <c r="I54" s="5" t="s">
        <v>673</v>
      </c>
      <c r="J54" s="5">
        <v>203</v>
      </c>
      <c r="K54" s="5" t="s">
        <v>491</v>
      </c>
      <c r="N54" t="s">
        <v>831</v>
      </c>
      <c r="O54" t="s">
        <v>698</v>
      </c>
      <c r="P54" t="s">
        <v>826</v>
      </c>
      <c r="Q54" t="s">
        <v>832</v>
      </c>
    </row>
    <row r="55" spans="1:17" x14ac:dyDescent="0.25">
      <c r="A55" s="35" t="s">
        <v>833</v>
      </c>
      <c r="B55" t="s">
        <v>834</v>
      </c>
      <c r="G55" t="s">
        <v>835</v>
      </c>
      <c r="H55" s="5" t="s">
        <v>836</v>
      </c>
      <c r="I55" s="5" t="s">
        <v>837</v>
      </c>
      <c r="J55" s="5">
        <v>408</v>
      </c>
      <c r="K55" s="5" t="s">
        <v>557</v>
      </c>
      <c r="N55" t="s">
        <v>838</v>
      </c>
      <c r="O55" t="s">
        <v>698</v>
      </c>
      <c r="P55" t="s">
        <v>826</v>
      </c>
      <c r="Q55" t="s">
        <v>839</v>
      </c>
    </row>
    <row r="56" spans="1:17" x14ac:dyDescent="0.25">
      <c r="A56" t="s">
        <v>840</v>
      </c>
      <c r="B56" t="s">
        <v>841</v>
      </c>
      <c r="G56" t="s">
        <v>842</v>
      </c>
      <c r="H56" s="5" t="s">
        <v>843</v>
      </c>
      <c r="I56" s="5" t="s">
        <v>844</v>
      </c>
      <c r="J56" s="5">
        <v>180</v>
      </c>
      <c r="K56" s="5" t="s">
        <v>517</v>
      </c>
      <c r="N56" t="s">
        <v>845</v>
      </c>
      <c r="O56" t="s">
        <v>698</v>
      </c>
      <c r="P56" t="s">
        <v>826</v>
      </c>
      <c r="Q56" t="s">
        <v>846</v>
      </c>
    </row>
    <row r="57" spans="1:17" x14ac:dyDescent="0.25">
      <c r="A57" t="s">
        <v>847</v>
      </c>
      <c r="B57" t="s">
        <v>848</v>
      </c>
      <c r="G57" t="s">
        <v>688</v>
      </c>
      <c r="H57" s="5" t="s">
        <v>849</v>
      </c>
      <c r="I57" s="5" t="s">
        <v>687</v>
      </c>
      <c r="J57" s="5">
        <v>208</v>
      </c>
      <c r="K57" s="5" t="s">
        <v>491</v>
      </c>
      <c r="N57" t="s">
        <v>850</v>
      </c>
      <c r="O57" t="s">
        <v>698</v>
      </c>
      <c r="P57" t="s">
        <v>851</v>
      </c>
      <c r="Q57" t="s">
        <v>852</v>
      </c>
    </row>
    <row r="58" spans="1:17" x14ac:dyDescent="0.25">
      <c r="A58" t="s">
        <v>853</v>
      </c>
      <c r="B58" t="s">
        <v>854</v>
      </c>
      <c r="G58" t="s">
        <v>855</v>
      </c>
      <c r="H58" s="5" t="s">
        <v>856</v>
      </c>
      <c r="I58" s="5" t="s">
        <v>857</v>
      </c>
      <c r="J58" s="5">
        <v>262</v>
      </c>
      <c r="K58" s="5" t="s">
        <v>517</v>
      </c>
      <c r="N58" t="s">
        <v>858</v>
      </c>
      <c r="O58" t="s">
        <v>698</v>
      </c>
      <c r="P58" t="s">
        <v>851</v>
      </c>
      <c r="Q58" t="s">
        <v>859</v>
      </c>
    </row>
    <row r="59" spans="1:17" x14ac:dyDescent="0.25">
      <c r="G59" t="s">
        <v>860</v>
      </c>
      <c r="H59" s="5" t="s">
        <v>861</v>
      </c>
      <c r="I59" s="5" t="s">
        <v>862</v>
      </c>
      <c r="J59" s="5">
        <v>212</v>
      </c>
      <c r="K59" s="5" t="s">
        <v>503</v>
      </c>
      <c r="N59" t="s">
        <v>863</v>
      </c>
      <c r="O59" t="s">
        <v>698</v>
      </c>
      <c r="P59" t="s">
        <v>851</v>
      </c>
      <c r="Q59" t="s">
        <v>864</v>
      </c>
    </row>
    <row r="60" spans="1:17" x14ac:dyDescent="0.25">
      <c r="A60" s="4" t="s">
        <v>865</v>
      </c>
      <c r="B60" t="s">
        <v>866</v>
      </c>
      <c r="G60" t="s">
        <v>867</v>
      </c>
      <c r="H60" s="5" t="s">
        <v>868</v>
      </c>
      <c r="I60" s="5" t="s">
        <v>869</v>
      </c>
      <c r="J60" s="5">
        <v>214</v>
      </c>
      <c r="K60" s="5" t="s">
        <v>503</v>
      </c>
      <c r="N60" t="s">
        <v>870</v>
      </c>
      <c r="O60" t="s">
        <v>698</v>
      </c>
      <c r="P60" t="s">
        <v>851</v>
      </c>
      <c r="Q60" t="s">
        <v>871</v>
      </c>
    </row>
    <row r="61" spans="1:17" x14ac:dyDescent="0.25">
      <c r="A61" t="s">
        <v>482</v>
      </c>
      <c r="G61" t="s">
        <v>872</v>
      </c>
      <c r="H61" s="5" t="s">
        <v>873</v>
      </c>
      <c r="I61" s="5" t="s">
        <v>874</v>
      </c>
      <c r="J61" s="5">
        <v>218</v>
      </c>
      <c r="K61" s="5" t="s">
        <v>503</v>
      </c>
      <c r="N61" t="s">
        <v>875</v>
      </c>
      <c r="O61" t="s">
        <v>698</v>
      </c>
      <c r="P61" t="s">
        <v>851</v>
      </c>
      <c r="Q61" t="s">
        <v>876</v>
      </c>
    </row>
    <row r="62" spans="1:17" x14ac:dyDescent="0.25">
      <c r="A62" t="s">
        <v>492</v>
      </c>
      <c r="G62" t="s">
        <v>877</v>
      </c>
      <c r="H62" s="5" t="s">
        <v>878</v>
      </c>
      <c r="I62" s="5" t="s">
        <v>879</v>
      </c>
      <c r="J62" s="5">
        <v>818</v>
      </c>
      <c r="K62" s="5" t="s">
        <v>500</v>
      </c>
      <c r="N62" t="s">
        <v>880</v>
      </c>
      <c r="O62" t="s">
        <v>698</v>
      </c>
      <c r="P62" t="s">
        <v>881</v>
      </c>
      <c r="Q62" t="s">
        <v>882</v>
      </c>
    </row>
    <row r="63" spans="1:17" x14ac:dyDescent="0.25">
      <c r="A63" t="s">
        <v>501</v>
      </c>
      <c r="G63" t="s">
        <v>883</v>
      </c>
      <c r="H63" s="5" t="s">
        <v>884</v>
      </c>
      <c r="I63" s="5" t="s">
        <v>885</v>
      </c>
      <c r="J63" s="5">
        <v>222</v>
      </c>
      <c r="K63" s="5" t="s">
        <v>503</v>
      </c>
      <c r="N63" t="s">
        <v>886</v>
      </c>
      <c r="O63" t="s">
        <v>698</v>
      </c>
      <c r="P63" t="s">
        <v>881</v>
      </c>
      <c r="Q63" t="s">
        <v>887</v>
      </c>
    </row>
    <row r="64" spans="1:17" x14ac:dyDescent="0.25">
      <c r="A64" t="s">
        <v>509</v>
      </c>
      <c r="G64" t="s">
        <v>888</v>
      </c>
      <c r="H64" s="5" t="s">
        <v>889</v>
      </c>
      <c r="I64" s="5" t="s">
        <v>890</v>
      </c>
      <c r="J64" s="5">
        <v>226</v>
      </c>
      <c r="K64" s="5" t="s">
        <v>517</v>
      </c>
      <c r="N64" t="s">
        <v>891</v>
      </c>
      <c r="O64" t="s">
        <v>698</v>
      </c>
      <c r="P64" t="s">
        <v>881</v>
      </c>
      <c r="Q64" t="s">
        <v>892</v>
      </c>
    </row>
    <row r="65" spans="1:17" x14ac:dyDescent="0.25">
      <c r="A65" t="s">
        <v>518</v>
      </c>
      <c r="G65" t="s">
        <v>893</v>
      </c>
      <c r="H65" s="5" t="s">
        <v>894</v>
      </c>
      <c r="I65" s="5" t="s">
        <v>895</v>
      </c>
      <c r="J65" s="5">
        <v>232</v>
      </c>
      <c r="K65" s="5" t="s">
        <v>517</v>
      </c>
      <c r="N65" s="37">
        <v>36861</v>
      </c>
      <c r="O65" t="s">
        <v>698</v>
      </c>
      <c r="P65" t="s">
        <v>896</v>
      </c>
      <c r="Q65" t="s">
        <v>896</v>
      </c>
    </row>
    <row r="66" spans="1:17" x14ac:dyDescent="0.25">
      <c r="A66" t="s">
        <v>525</v>
      </c>
      <c r="G66" t="s">
        <v>702</v>
      </c>
      <c r="H66" s="5" t="s">
        <v>897</v>
      </c>
      <c r="I66" s="5" t="s">
        <v>701</v>
      </c>
      <c r="J66" s="5">
        <v>233</v>
      </c>
      <c r="K66" s="5" t="s">
        <v>491</v>
      </c>
      <c r="N66" t="s">
        <v>898</v>
      </c>
      <c r="O66" t="s">
        <v>698</v>
      </c>
      <c r="P66" t="s">
        <v>899</v>
      </c>
      <c r="Q66" t="s">
        <v>900</v>
      </c>
    </row>
    <row r="67" spans="1:17" x14ac:dyDescent="0.25">
      <c r="A67" t="s">
        <v>532</v>
      </c>
      <c r="G67" t="s">
        <v>901</v>
      </c>
      <c r="H67" s="5" t="s">
        <v>902</v>
      </c>
      <c r="I67" s="5" t="s">
        <v>903</v>
      </c>
      <c r="J67" s="5">
        <v>231</v>
      </c>
      <c r="K67" s="5" t="s">
        <v>517</v>
      </c>
      <c r="N67" t="s">
        <v>904</v>
      </c>
      <c r="O67" t="s">
        <v>698</v>
      </c>
      <c r="P67" t="s">
        <v>899</v>
      </c>
      <c r="Q67" t="s">
        <v>905</v>
      </c>
    </row>
    <row r="68" spans="1:17" x14ac:dyDescent="0.25">
      <c r="A68" t="s">
        <v>540</v>
      </c>
      <c r="G68" t="s">
        <v>906</v>
      </c>
      <c r="H68" s="5" t="s">
        <v>907</v>
      </c>
      <c r="I68" s="5" t="s">
        <v>908</v>
      </c>
      <c r="J68" s="5">
        <v>238</v>
      </c>
      <c r="K68" s="5" t="s">
        <v>503</v>
      </c>
      <c r="N68" t="s">
        <v>909</v>
      </c>
      <c r="O68" t="s">
        <v>698</v>
      </c>
      <c r="P68" t="s">
        <v>899</v>
      </c>
      <c r="Q68" t="s">
        <v>910</v>
      </c>
    </row>
    <row r="69" spans="1:17" x14ac:dyDescent="0.25">
      <c r="A69" t="s">
        <v>548</v>
      </c>
      <c r="G69" t="s">
        <v>911</v>
      </c>
      <c r="H69" s="5" t="s">
        <v>912</v>
      </c>
      <c r="I69" s="5" t="s">
        <v>913</v>
      </c>
      <c r="J69" s="5">
        <v>242</v>
      </c>
      <c r="K69" s="5" t="s">
        <v>481</v>
      </c>
      <c r="N69" t="s">
        <v>914</v>
      </c>
      <c r="O69" t="s">
        <v>698</v>
      </c>
      <c r="P69" t="s">
        <v>915</v>
      </c>
      <c r="Q69" t="s">
        <v>915</v>
      </c>
    </row>
    <row r="70" spans="1:17" x14ac:dyDescent="0.25">
      <c r="A70" t="s">
        <v>555</v>
      </c>
      <c r="G70" t="s">
        <v>709</v>
      </c>
      <c r="H70" s="5" t="s">
        <v>916</v>
      </c>
      <c r="I70" s="5" t="s">
        <v>708</v>
      </c>
      <c r="J70" s="5">
        <v>246</v>
      </c>
      <c r="K70" s="5" t="s">
        <v>491</v>
      </c>
      <c r="N70" t="s">
        <v>917</v>
      </c>
      <c r="O70" t="s">
        <v>698</v>
      </c>
      <c r="P70" t="s">
        <v>918</v>
      </c>
      <c r="Q70" t="s">
        <v>918</v>
      </c>
    </row>
    <row r="71" spans="1:17" x14ac:dyDescent="0.25">
      <c r="A71" t="s">
        <v>564</v>
      </c>
      <c r="G71" t="s">
        <v>716</v>
      </c>
      <c r="H71" s="5" t="s">
        <v>919</v>
      </c>
      <c r="I71" s="5" t="s">
        <v>715</v>
      </c>
      <c r="J71" s="5">
        <v>250</v>
      </c>
      <c r="K71" s="5" t="s">
        <v>491</v>
      </c>
      <c r="N71" t="s">
        <v>920</v>
      </c>
      <c r="O71" t="s">
        <v>698</v>
      </c>
      <c r="P71" t="s">
        <v>921</v>
      </c>
      <c r="Q71" t="s">
        <v>921</v>
      </c>
    </row>
    <row r="72" spans="1:17" x14ac:dyDescent="0.25">
      <c r="A72" t="s">
        <v>571</v>
      </c>
      <c r="G72" t="s">
        <v>922</v>
      </c>
      <c r="H72" s="5" t="s">
        <v>923</v>
      </c>
      <c r="I72" s="5" t="s">
        <v>924</v>
      </c>
      <c r="J72" s="5">
        <v>258</v>
      </c>
      <c r="K72" s="5" t="s">
        <v>481</v>
      </c>
      <c r="N72" t="s">
        <v>925</v>
      </c>
      <c r="O72" t="s">
        <v>926</v>
      </c>
      <c r="P72" t="s">
        <v>926</v>
      </c>
      <c r="Q72" t="s">
        <v>926</v>
      </c>
    </row>
    <row r="73" spans="1:17" x14ac:dyDescent="0.25">
      <c r="A73" t="s">
        <v>579</v>
      </c>
      <c r="G73" t="s">
        <v>927</v>
      </c>
      <c r="H73" s="5" t="s">
        <v>928</v>
      </c>
      <c r="I73" s="5" t="s">
        <v>929</v>
      </c>
      <c r="J73" s="5">
        <v>266</v>
      </c>
      <c r="K73" s="5" t="s">
        <v>517</v>
      </c>
      <c r="N73" t="s">
        <v>930</v>
      </c>
      <c r="O73" t="s">
        <v>931</v>
      </c>
      <c r="P73" t="s">
        <v>743</v>
      </c>
      <c r="Q73" t="s">
        <v>932</v>
      </c>
    </row>
    <row r="74" spans="1:17" x14ac:dyDescent="0.25">
      <c r="A74" t="s">
        <v>584</v>
      </c>
      <c r="G74" t="s">
        <v>933</v>
      </c>
      <c r="H74" s="5" t="s">
        <v>934</v>
      </c>
      <c r="I74" s="5" t="s">
        <v>935</v>
      </c>
      <c r="J74" s="5">
        <v>270</v>
      </c>
      <c r="K74" s="5" t="s">
        <v>517</v>
      </c>
      <c r="N74" t="s">
        <v>936</v>
      </c>
      <c r="O74" t="s">
        <v>931</v>
      </c>
      <c r="P74" t="s">
        <v>743</v>
      </c>
      <c r="Q74" t="s">
        <v>937</v>
      </c>
    </row>
    <row r="75" spans="1:17" x14ac:dyDescent="0.25">
      <c r="A75" t="s">
        <v>593</v>
      </c>
      <c r="G75" t="s">
        <v>938</v>
      </c>
      <c r="H75" s="5" t="s">
        <v>939</v>
      </c>
      <c r="I75" s="5" t="s">
        <v>940</v>
      </c>
      <c r="J75" s="5">
        <v>268</v>
      </c>
      <c r="K75" s="5" t="s">
        <v>511</v>
      </c>
      <c r="N75" t="s">
        <v>941</v>
      </c>
      <c r="O75" t="s">
        <v>931</v>
      </c>
      <c r="P75" t="s">
        <v>743</v>
      </c>
      <c r="Q75" t="s">
        <v>942</v>
      </c>
    </row>
    <row r="76" spans="1:17" x14ac:dyDescent="0.25">
      <c r="A76" t="s">
        <v>602</v>
      </c>
      <c r="G76" t="s">
        <v>681</v>
      </c>
      <c r="H76" s="5" t="s">
        <v>943</v>
      </c>
      <c r="I76" s="5" t="s">
        <v>680</v>
      </c>
      <c r="J76" s="5">
        <v>276</v>
      </c>
      <c r="K76" s="5" t="s">
        <v>491</v>
      </c>
      <c r="N76" t="s">
        <v>944</v>
      </c>
      <c r="O76" t="s">
        <v>945</v>
      </c>
      <c r="P76" t="s">
        <v>946</v>
      </c>
      <c r="Q76" t="s">
        <v>946</v>
      </c>
    </row>
    <row r="77" spans="1:17" x14ac:dyDescent="0.25">
      <c r="A77" t="s">
        <v>611</v>
      </c>
      <c r="G77" t="s">
        <v>947</v>
      </c>
      <c r="H77" s="5" t="s">
        <v>948</v>
      </c>
      <c r="I77" s="5" t="s">
        <v>949</v>
      </c>
      <c r="J77" s="5">
        <v>288</v>
      </c>
      <c r="K77" s="5" t="s">
        <v>517</v>
      </c>
      <c r="N77" t="s">
        <v>950</v>
      </c>
      <c r="O77" t="s">
        <v>945</v>
      </c>
      <c r="P77" t="s">
        <v>951</v>
      </c>
      <c r="Q77" t="s">
        <v>952</v>
      </c>
    </row>
    <row r="78" spans="1:17" x14ac:dyDescent="0.25">
      <c r="A78" t="s">
        <v>619</v>
      </c>
      <c r="G78" t="s">
        <v>953</v>
      </c>
      <c r="H78" s="5" t="s">
        <v>954</v>
      </c>
      <c r="I78" s="5" t="s">
        <v>955</v>
      </c>
      <c r="J78" s="5">
        <v>292</v>
      </c>
      <c r="K78" s="5" t="s">
        <v>491</v>
      </c>
      <c r="N78" t="s">
        <v>956</v>
      </c>
      <c r="O78" t="s">
        <v>945</v>
      </c>
      <c r="P78" t="s">
        <v>951</v>
      </c>
      <c r="Q78" t="s">
        <v>957</v>
      </c>
    </row>
    <row r="79" spans="1:17" x14ac:dyDescent="0.25">
      <c r="A79" t="s">
        <v>625</v>
      </c>
      <c r="G79" t="s">
        <v>723</v>
      </c>
      <c r="H79" s="5" t="s">
        <v>958</v>
      </c>
      <c r="I79" s="5" t="s">
        <v>722</v>
      </c>
      <c r="J79" s="5">
        <v>300</v>
      </c>
      <c r="K79" s="5" t="s">
        <v>491</v>
      </c>
      <c r="N79" t="s">
        <v>959</v>
      </c>
      <c r="O79" t="s">
        <v>945</v>
      </c>
      <c r="P79" t="s">
        <v>951</v>
      </c>
      <c r="Q79" t="s">
        <v>960</v>
      </c>
    </row>
    <row r="80" spans="1:17" x14ac:dyDescent="0.25">
      <c r="A80" t="s">
        <v>631</v>
      </c>
      <c r="G80" t="s">
        <v>961</v>
      </c>
      <c r="H80" s="5" t="s">
        <v>962</v>
      </c>
      <c r="I80" s="5" t="s">
        <v>963</v>
      </c>
      <c r="J80" s="5">
        <v>308</v>
      </c>
      <c r="K80" s="5" t="s">
        <v>503</v>
      </c>
      <c r="N80" t="s">
        <v>964</v>
      </c>
      <c r="O80" t="s">
        <v>945</v>
      </c>
      <c r="P80" t="s">
        <v>965</v>
      </c>
      <c r="Q80" t="s">
        <v>966</v>
      </c>
    </row>
    <row r="81" spans="1:17" x14ac:dyDescent="0.25">
      <c r="A81" t="s">
        <v>636</v>
      </c>
      <c r="G81" t="s">
        <v>967</v>
      </c>
      <c r="H81" s="5" t="s">
        <v>968</v>
      </c>
      <c r="I81" s="5" t="s">
        <v>969</v>
      </c>
      <c r="J81" s="5">
        <v>312</v>
      </c>
      <c r="K81" s="5" t="s">
        <v>503</v>
      </c>
      <c r="N81" t="s">
        <v>970</v>
      </c>
      <c r="O81" t="s">
        <v>945</v>
      </c>
      <c r="P81" t="s">
        <v>965</v>
      </c>
      <c r="Q81" t="s">
        <v>971</v>
      </c>
    </row>
    <row r="82" spans="1:17" x14ac:dyDescent="0.25">
      <c r="A82" t="s">
        <v>642</v>
      </c>
      <c r="G82" t="s">
        <v>972</v>
      </c>
      <c r="H82" s="5" t="s">
        <v>973</v>
      </c>
      <c r="I82" s="5" t="s">
        <v>974</v>
      </c>
      <c r="J82" s="5">
        <v>320</v>
      </c>
      <c r="K82" s="5" t="s">
        <v>503</v>
      </c>
      <c r="N82" t="s">
        <v>975</v>
      </c>
      <c r="O82" t="s">
        <v>945</v>
      </c>
      <c r="P82" t="s">
        <v>965</v>
      </c>
      <c r="Q82" t="s">
        <v>976</v>
      </c>
    </row>
    <row r="83" spans="1:17" x14ac:dyDescent="0.25">
      <c r="A83" t="s">
        <v>649</v>
      </c>
      <c r="G83" t="s">
        <v>977</v>
      </c>
      <c r="H83" s="5" t="s">
        <v>978</v>
      </c>
      <c r="I83" s="5" t="s">
        <v>979</v>
      </c>
      <c r="J83" s="5">
        <v>324</v>
      </c>
      <c r="K83" s="5" t="s">
        <v>517</v>
      </c>
      <c r="N83" t="s">
        <v>980</v>
      </c>
      <c r="O83" t="s">
        <v>945</v>
      </c>
      <c r="P83" t="s">
        <v>965</v>
      </c>
      <c r="Q83" t="s">
        <v>981</v>
      </c>
    </row>
    <row r="84" spans="1:17" x14ac:dyDescent="0.25">
      <c r="A84" t="s">
        <v>654</v>
      </c>
      <c r="G84" t="s">
        <v>982</v>
      </c>
      <c r="H84" s="5" t="s">
        <v>983</v>
      </c>
      <c r="I84" s="5" t="s">
        <v>984</v>
      </c>
      <c r="J84" s="5">
        <v>624</v>
      </c>
      <c r="K84" s="5" t="s">
        <v>517</v>
      </c>
      <c r="N84" t="s">
        <v>985</v>
      </c>
      <c r="O84" t="s">
        <v>945</v>
      </c>
      <c r="P84" t="s">
        <v>986</v>
      </c>
      <c r="Q84" t="s">
        <v>987</v>
      </c>
    </row>
    <row r="85" spans="1:17" x14ac:dyDescent="0.25">
      <c r="A85" t="s">
        <v>659</v>
      </c>
      <c r="G85" t="s">
        <v>988</v>
      </c>
      <c r="H85" s="5" t="s">
        <v>989</v>
      </c>
      <c r="I85" s="5" t="s">
        <v>990</v>
      </c>
      <c r="J85" s="5">
        <v>328</v>
      </c>
      <c r="K85" s="5" t="s">
        <v>503</v>
      </c>
      <c r="N85" t="s">
        <v>991</v>
      </c>
      <c r="O85" t="s">
        <v>945</v>
      </c>
      <c r="P85" t="s">
        <v>986</v>
      </c>
      <c r="Q85" t="s">
        <v>992</v>
      </c>
    </row>
    <row r="86" spans="1:17" x14ac:dyDescent="0.25">
      <c r="A86" t="s">
        <v>665</v>
      </c>
      <c r="G86" t="s">
        <v>993</v>
      </c>
      <c r="H86" s="5" t="s">
        <v>994</v>
      </c>
      <c r="I86" s="5" t="s">
        <v>995</v>
      </c>
      <c r="J86" s="5">
        <v>332</v>
      </c>
      <c r="K86" s="5" t="s">
        <v>503</v>
      </c>
      <c r="N86" t="s">
        <v>996</v>
      </c>
      <c r="O86" t="s">
        <v>945</v>
      </c>
      <c r="P86" t="s">
        <v>986</v>
      </c>
      <c r="Q86" t="s">
        <v>997</v>
      </c>
    </row>
    <row r="87" spans="1:17" x14ac:dyDescent="0.25">
      <c r="A87" t="s">
        <v>671</v>
      </c>
      <c r="G87" t="s">
        <v>998</v>
      </c>
      <c r="H87" s="5" t="s">
        <v>999</v>
      </c>
      <c r="I87" s="5" t="s">
        <v>1000</v>
      </c>
      <c r="J87" s="5">
        <v>336</v>
      </c>
      <c r="K87" s="5" t="s">
        <v>491</v>
      </c>
      <c r="N87" t="s">
        <v>1001</v>
      </c>
      <c r="O87" t="s">
        <v>945</v>
      </c>
      <c r="P87" t="s">
        <v>986</v>
      </c>
      <c r="Q87" t="s">
        <v>1002</v>
      </c>
    </row>
    <row r="88" spans="1:17" x14ac:dyDescent="0.25">
      <c r="A88" t="s">
        <v>678</v>
      </c>
      <c r="G88" t="s">
        <v>1003</v>
      </c>
      <c r="H88" s="5" t="s">
        <v>1004</v>
      </c>
      <c r="I88" s="5" t="s">
        <v>1005</v>
      </c>
      <c r="J88" s="5">
        <v>340</v>
      </c>
      <c r="K88" s="5" t="s">
        <v>503</v>
      </c>
      <c r="N88" t="s">
        <v>1006</v>
      </c>
      <c r="O88" t="s">
        <v>945</v>
      </c>
      <c r="P88" t="s">
        <v>986</v>
      </c>
      <c r="Q88" t="s">
        <v>1007</v>
      </c>
    </row>
    <row r="89" spans="1:17" x14ac:dyDescent="0.25">
      <c r="A89" t="s">
        <v>685</v>
      </c>
      <c r="G89" t="s">
        <v>1008</v>
      </c>
      <c r="H89" s="5" t="s">
        <v>1009</v>
      </c>
      <c r="I89" s="5" t="s">
        <v>1010</v>
      </c>
      <c r="J89" s="5">
        <v>344</v>
      </c>
      <c r="K89" s="5" t="s">
        <v>542</v>
      </c>
      <c r="N89" t="s">
        <v>1011</v>
      </c>
      <c r="O89" t="s">
        <v>1012</v>
      </c>
      <c r="P89" t="s">
        <v>1013</v>
      </c>
      <c r="Q89" t="s">
        <v>1014</v>
      </c>
    </row>
    <row r="90" spans="1:17" x14ac:dyDescent="0.25">
      <c r="A90" t="s">
        <v>690</v>
      </c>
      <c r="G90" t="s">
        <v>736</v>
      </c>
      <c r="H90" s="5" t="s">
        <v>1015</v>
      </c>
      <c r="I90" s="5" t="s">
        <v>735</v>
      </c>
      <c r="J90" s="5">
        <v>348</v>
      </c>
      <c r="K90" s="5" t="s">
        <v>491</v>
      </c>
      <c r="N90" t="s">
        <v>1016</v>
      </c>
      <c r="O90" t="s">
        <v>1012</v>
      </c>
      <c r="P90" t="s">
        <v>1013</v>
      </c>
      <c r="Q90" t="s">
        <v>1017</v>
      </c>
    </row>
    <row r="91" spans="1:17" x14ac:dyDescent="0.25">
      <c r="A91" t="s">
        <v>697</v>
      </c>
      <c r="G91" t="s">
        <v>1018</v>
      </c>
      <c r="H91" s="5" t="s">
        <v>1019</v>
      </c>
      <c r="I91" s="5" t="s">
        <v>1020</v>
      </c>
      <c r="J91" s="5">
        <v>352</v>
      </c>
      <c r="K91" s="5" t="s">
        <v>491</v>
      </c>
      <c r="N91" t="s">
        <v>1021</v>
      </c>
      <c r="O91" t="s">
        <v>1012</v>
      </c>
      <c r="P91" t="s">
        <v>1013</v>
      </c>
      <c r="Q91" t="s">
        <v>1022</v>
      </c>
    </row>
    <row r="92" spans="1:17" x14ac:dyDescent="0.25">
      <c r="A92" t="s">
        <v>706</v>
      </c>
      <c r="G92" t="s">
        <v>551</v>
      </c>
      <c r="H92" s="5" t="s">
        <v>1023</v>
      </c>
      <c r="I92" s="5" t="s">
        <v>550</v>
      </c>
      <c r="J92" s="5">
        <v>356</v>
      </c>
      <c r="K92" s="5" t="s">
        <v>550</v>
      </c>
      <c r="N92" t="s">
        <v>1024</v>
      </c>
      <c r="O92" t="s">
        <v>1012</v>
      </c>
      <c r="P92" t="s">
        <v>1025</v>
      </c>
      <c r="Q92" t="s">
        <v>1026</v>
      </c>
    </row>
    <row r="93" spans="1:17" x14ac:dyDescent="0.25">
      <c r="A93" t="s">
        <v>713</v>
      </c>
      <c r="G93" t="s">
        <v>1027</v>
      </c>
      <c r="H93" s="5" t="s">
        <v>1028</v>
      </c>
      <c r="I93" s="5" t="s">
        <v>1029</v>
      </c>
      <c r="J93" s="5">
        <v>360</v>
      </c>
      <c r="K93" s="5" t="s">
        <v>557</v>
      </c>
      <c r="N93" t="s">
        <v>1030</v>
      </c>
      <c r="O93" t="s">
        <v>1012</v>
      </c>
      <c r="P93" t="s">
        <v>1025</v>
      </c>
      <c r="Q93" t="s">
        <v>1031</v>
      </c>
    </row>
    <row r="94" spans="1:17" x14ac:dyDescent="0.25">
      <c r="A94" t="s">
        <v>720</v>
      </c>
      <c r="G94" t="s">
        <v>1032</v>
      </c>
      <c r="H94" s="5" t="s">
        <v>1033</v>
      </c>
      <c r="I94" s="5" t="s">
        <v>1034</v>
      </c>
      <c r="J94" s="5">
        <v>364</v>
      </c>
      <c r="K94" s="5" t="s">
        <v>500</v>
      </c>
      <c r="N94" t="s">
        <v>1035</v>
      </c>
      <c r="O94" t="s">
        <v>1012</v>
      </c>
      <c r="P94" t="s">
        <v>1025</v>
      </c>
      <c r="Q94" t="s">
        <v>1036</v>
      </c>
    </row>
    <row r="95" spans="1:17" x14ac:dyDescent="0.25">
      <c r="A95" t="s">
        <v>725</v>
      </c>
      <c r="G95" t="s">
        <v>1037</v>
      </c>
      <c r="H95" s="5" t="s">
        <v>1038</v>
      </c>
      <c r="I95" s="5" t="s">
        <v>1039</v>
      </c>
      <c r="J95" s="5">
        <v>368</v>
      </c>
      <c r="K95" s="5" t="s">
        <v>500</v>
      </c>
      <c r="N95" t="s">
        <v>1040</v>
      </c>
      <c r="O95" t="s">
        <v>1012</v>
      </c>
      <c r="P95" t="s">
        <v>1025</v>
      </c>
      <c r="Q95" t="s">
        <v>1041</v>
      </c>
    </row>
    <row r="96" spans="1:17" x14ac:dyDescent="0.25">
      <c r="A96" t="s">
        <v>733</v>
      </c>
      <c r="G96" t="s">
        <v>743</v>
      </c>
      <c r="H96" s="5" t="s">
        <v>1042</v>
      </c>
      <c r="I96" s="5" t="s">
        <v>742</v>
      </c>
      <c r="J96" s="5">
        <v>372</v>
      </c>
      <c r="K96" s="5" t="s">
        <v>491</v>
      </c>
      <c r="N96" t="s">
        <v>1043</v>
      </c>
      <c r="O96" t="s">
        <v>1012</v>
      </c>
      <c r="P96" t="s">
        <v>1044</v>
      </c>
      <c r="Q96" t="s">
        <v>1044</v>
      </c>
    </row>
    <row r="97" spans="1:17" x14ac:dyDescent="0.25">
      <c r="A97" t="s">
        <v>740</v>
      </c>
      <c r="G97" t="s">
        <v>1045</v>
      </c>
      <c r="H97" s="5" t="s">
        <v>1046</v>
      </c>
      <c r="I97" s="5" t="s">
        <v>1047</v>
      </c>
      <c r="J97" s="5">
        <v>376</v>
      </c>
      <c r="K97" s="5" t="s">
        <v>500</v>
      </c>
      <c r="N97" t="s">
        <v>1048</v>
      </c>
      <c r="O97" t="s">
        <v>1012</v>
      </c>
      <c r="P97" t="s">
        <v>1049</v>
      </c>
      <c r="Q97" t="s">
        <v>1050</v>
      </c>
    </row>
    <row r="98" spans="1:17" x14ac:dyDescent="0.25">
      <c r="A98" t="s">
        <v>747</v>
      </c>
      <c r="G98" t="s">
        <v>750</v>
      </c>
      <c r="H98" s="5" t="s">
        <v>1051</v>
      </c>
      <c r="I98" s="5" t="s">
        <v>749</v>
      </c>
      <c r="J98" s="5">
        <v>380</v>
      </c>
      <c r="K98" s="5" t="s">
        <v>491</v>
      </c>
      <c r="N98" t="s">
        <v>1052</v>
      </c>
      <c r="O98" t="s">
        <v>1012</v>
      </c>
      <c r="P98" t="s">
        <v>1049</v>
      </c>
      <c r="Q98" t="s">
        <v>1053</v>
      </c>
    </row>
    <row r="99" spans="1:17" x14ac:dyDescent="0.25">
      <c r="A99" t="s">
        <v>754</v>
      </c>
      <c r="G99" t="s">
        <v>1054</v>
      </c>
      <c r="H99" s="5" t="s">
        <v>1055</v>
      </c>
      <c r="I99" s="5" t="s">
        <v>1056</v>
      </c>
      <c r="J99" s="5">
        <v>388</v>
      </c>
      <c r="K99" s="5" t="s">
        <v>503</v>
      </c>
      <c r="N99" t="s">
        <v>1057</v>
      </c>
      <c r="O99" t="s">
        <v>1012</v>
      </c>
      <c r="P99" t="s">
        <v>1049</v>
      </c>
      <c r="Q99" t="s">
        <v>1058</v>
      </c>
    </row>
    <row r="100" spans="1:17" x14ac:dyDescent="0.25">
      <c r="A100" t="s">
        <v>761</v>
      </c>
      <c r="G100" t="s">
        <v>1059</v>
      </c>
      <c r="H100" s="5" t="s">
        <v>1060</v>
      </c>
      <c r="I100" s="5" t="s">
        <v>1061</v>
      </c>
      <c r="J100" s="5">
        <v>392</v>
      </c>
      <c r="K100" s="5" t="s">
        <v>557</v>
      </c>
      <c r="N100" t="s">
        <v>1062</v>
      </c>
      <c r="O100" t="s">
        <v>1012</v>
      </c>
      <c r="P100" t="s">
        <v>1063</v>
      </c>
      <c r="Q100" t="s">
        <v>1064</v>
      </c>
    </row>
    <row r="101" spans="1:17" x14ac:dyDescent="0.25">
      <c r="A101" t="s">
        <v>766</v>
      </c>
      <c r="G101" t="s">
        <v>1065</v>
      </c>
      <c r="H101" s="5" t="s">
        <v>1066</v>
      </c>
      <c r="I101" s="5" t="s">
        <v>1067</v>
      </c>
      <c r="J101" s="5">
        <v>400</v>
      </c>
      <c r="K101" s="5" t="s">
        <v>500</v>
      </c>
      <c r="N101" t="s">
        <v>1068</v>
      </c>
      <c r="O101" t="s">
        <v>1012</v>
      </c>
      <c r="P101" t="s">
        <v>1063</v>
      </c>
      <c r="Q101" t="s">
        <v>1069</v>
      </c>
    </row>
    <row r="102" spans="1:17" x14ac:dyDescent="0.25">
      <c r="A102" t="s">
        <v>773</v>
      </c>
      <c r="G102" t="s">
        <v>1070</v>
      </c>
      <c r="H102" s="5" t="s">
        <v>1071</v>
      </c>
      <c r="I102" s="5" t="s">
        <v>1072</v>
      </c>
      <c r="J102" s="5">
        <v>398</v>
      </c>
      <c r="K102" s="5" t="s">
        <v>511</v>
      </c>
      <c r="N102" t="s">
        <v>1073</v>
      </c>
      <c r="O102" t="s">
        <v>1012</v>
      </c>
      <c r="P102" t="s">
        <v>1063</v>
      </c>
      <c r="Q102" t="s">
        <v>1074</v>
      </c>
    </row>
    <row r="103" spans="1:17" x14ac:dyDescent="0.25">
      <c r="A103" t="s">
        <v>780</v>
      </c>
      <c r="G103" t="s">
        <v>1075</v>
      </c>
      <c r="H103" s="5" t="s">
        <v>1076</v>
      </c>
      <c r="I103" s="5" t="s">
        <v>1077</v>
      </c>
      <c r="J103" s="5">
        <v>404</v>
      </c>
      <c r="K103" s="5" t="s">
        <v>517</v>
      </c>
      <c r="N103" t="s">
        <v>1078</v>
      </c>
      <c r="O103" t="s">
        <v>1012</v>
      </c>
      <c r="P103" t="s">
        <v>1079</v>
      </c>
      <c r="Q103" t="s">
        <v>1080</v>
      </c>
    </row>
    <row r="104" spans="1:17" x14ac:dyDescent="0.25">
      <c r="A104" t="s">
        <v>786</v>
      </c>
      <c r="G104" t="s">
        <v>1081</v>
      </c>
      <c r="H104" s="5" t="s">
        <v>1082</v>
      </c>
      <c r="I104" s="5" t="s">
        <v>1083</v>
      </c>
      <c r="J104" s="5">
        <v>296</v>
      </c>
      <c r="K104" s="5" t="s">
        <v>481</v>
      </c>
      <c r="N104" t="s">
        <v>1084</v>
      </c>
      <c r="O104" t="s">
        <v>1012</v>
      </c>
      <c r="P104" t="s">
        <v>1079</v>
      </c>
      <c r="Q104" t="s">
        <v>1085</v>
      </c>
    </row>
    <row r="105" spans="1:17" x14ac:dyDescent="0.25">
      <c r="A105" t="s">
        <v>793</v>
      </c>
      <c r="G105" t="s">
        <v>1086</v>
      </c>
      <c r="H105" s="5" t="s">
        <v>1087</v>
      </c>
      <c r="I105" s="5" t="s">
        <v>1088</v>
      </c>
      <c r="J105" s="5">
        <v>414</v>
      </c>
      <c r="K105" s="5" t="s">
        <v>500</v>
      </c>
      <c r="N105" t="s">
        <v>1089</v>
      </c>
      <c r="O105" t="s">
        <v>1012</v>
      </c>
      <c r="P105" t="s">
        <v>1079</v>
      </c>
      <c r="Q105" t="s">
        <v>1090</v>
      </c>
    </row>
    <row r="106" spans="1:17" x14ac:dyDescent="0.25">
      <c r="A106" t="s">
        <v>800</v>
      </c>
      <c r="G106" t="s">
        <v>1091</v>
      </c>
      <c r="H106" s="5" t="s">
        <v>1092</v>
      </c>
      <c r="I106" s="5" t="s">
        <v>1093</v>
      </c>
      <c r="J106" s="5">
        <v>417</v>
      </c>
      <c r="K106" s="5" t="s">
        <v>511</v>
      </c>
      <c r="N106" t="s">
        <v>1094</v>
      </c>
      <c r="O106" t="s">
        <v>1012</v>
      </c>
      <c r="P106" t="s">
        <v>1079</v>
      </c>
      <c r="Q106" t="s">
        <v>1095</v>
      </c>
    </row>
    <row r="107" spans="1:17" x14ac:dyDescent="0.25">
      <c r="A107" t="s">
        <v>808</v>
      </c>
      <c r="G107" t="s">
        <v>1096</v>
      </c>
      <c r="H107" s="5" t="s">
        <v>1097</v>
      </c>
      <c r="I107" s="5" t="s">
        <v>1098</v>
      </c>
      <c r="J107" s="5">
        <v>418</v>
      </c>
      <c r="K107" s="5" t="s">
        <v>557</v>
      </c>
      <c r="N107" t="s">
        <v>1099</v>
      </c>
      <c r="O107" t="s">
        <v>1012</v>
      </c>
      <c r="P107" t="s">
        <v>1100</v>
      </c>
      <c r="Q107" t="s">
        <v>1100</v>
      </c>
    </row>
    <row r="108" spans="1:17" x14ac:dyDescent="0.25">
      <c r="A108" t="s">
        <v>813</v>
      </c>
      <c r="G108" t="s">
        <v>769</v>
      </c>
      <c r="H108" s="5" t="s">
        <v>1101</v>
      </c>
      <c r="I108" s="5" t="s">
        <v>768</v>
      </c>
      <c r="J108" s="5">
        <v>428</v>
      </c>
      <c r="K108" s="5" t="s">
        <v>491</v>
      </c>
      <c r="N108" t="s">
        <v>1102</v>
      </c>
      <c r="O108" t="s">
        <v>716</v>
      </c>
      <c r="P108" t="s">
        <v>1103</v>
      </c>
      <c r="Q108" t="s">
        <v>1103</v>
      </c>
    </row>
    <row r="109" spans="1:17" x14ac:dyDescent="0.25">
      <c r="A109" t="s">
        <v>820</v>
      </c>
      <c r="G109" t="s">
        <v>1104</v>
      </c>
      <c r="H109" s="5" t="s">
        <v>1105</v>
      </c>
      <c r="I109" s="5" t="s">
        <v>1106</v>
      </c>
      <c r="J109" s="5">
        <v>422</v>
      </c>
      <c r="K109" s="5" t="s">
        <v>500</v>
      </c>
      <c r="N109" t="s">
        <v>1107</v>
      </c>
      <c r="O109" t="s">
        <v>716</v>
      </c>
      <c r="P109" t="s">
        <v>1108</v>
      </c>
      <c r="Q109" t="s">
        <v>1108</v>
      </c>
    </row>
    <row r="110" spans="1:17" x14ac:dyDescent="0.25">
      <c r="A110" t="s">
        <v>825</v>
      </c>
      <c r="G110" t="s">
        <v>1109</v>
      </c>
      <c r="H110" s="5" t="s">
        <v>1110</v>
      </c>
      <c r="I110" s="5" t="s">
        <v>1111</v>
      </c>
      <c r="J110" s="5">
        <v>426</v>
      </c>
      <c r="K110" s="5" t="s">
        <v>517</v>
      </c>
      <c r="N110" t="s">
        <v>1112</v>
      </c>
      <c r="O110" t="s">
        <v>716</v>
      </c>
      <c r="P110" t="s">
        <v>1113</v>
      </c>
      <c r="Q110" t="s">
        <v>1114</v>
      </c>
    </row>
    <row r="111" spans="1:17" x14ac:dyDescent="0.25">
      <c r="A111" t="s">
        <v>831</v>
      </c>
      <c r="G111" t="s">
        <v>1115</v>
      </c>
      <c r="H111" s="5" t="s">
        <v>1116</v>
      </c>
      <c r="I111" s="5" t="s">
        <v>1117</v>
      </c>
      <c r="J111" s="5">
        <v>430</v>
      </c>
      <c r="K111" s="5" t="s">
        <v>517</v>
      </c>
      <c r="N111" t="s">
        <v>1118</v>
      </c>
      <c r="O111" t="s">
        <v>716</v>
      </c>
      <c r="P111" t="s">
        <v>1113</v>
      </c>
      <c r="Q111" t="s">
        <v>1119</v>
      </c>
    </row>
    <row r="112" spans="1:17" x14ac:dyDescent="0.25">
      <c r="A112" t="s">
        <v>838</v>
      </c>
      <c r="G112" t="s">
        <v>1120</v>
      </c>
      <c r="H112" s="5" t="s">
        <v>1121</v>
      </c>
      <c r="I112" s="5" t="s">
        <v>1122</v>
      </c>
      <c r="J112" s="5">
        <v>434</v>
      </c>
      <c r="K112" s="5" t="s">
        <v>500</v>
      </c>
      <c r="N112" t="s">
        <v>1123</v>
      </c>
      <c r="O112" t="s">
        <v>716</v>
      </c>
      <c r="P112" t="s">
        <v>1124</v>
      </c>
      <c r="Q112" t="s">
        <v>1125</v>
      </c>
    </row>
    <row r="113" spans="1:17" x14ac:dyDescent="0.25">
      <c r="A113" t="s">
        <v>845</v>
      </c>
      <c r="G113" t="s">
        <v>1126</v>
      </c>
      <c r="H113" s="5" t="s">
        <v>1127</v>
      </c>
      <c r="I113" s="5" t="s">
        <v>1128</v>
      </c>
      <c r="J113" s="5">
        <v>438</v>
      </c>
      <c r="K113" s="5" t="s">
        <v>491</v>
      </c>
      <c r="N113" t="s">
        <v>1129</v>
      </c>
      <c r="O113" t="s">
        <v>716</v>
      </c>
      <c r="P113" t="s">
        <v>1124</v>
      </c>
      <c r="Q113" t="s">
        <v>1130</v>
      </c>
    </row>
    <row r="114" spans="1:17" x14ac:dyDescent="0.25">
      <c r="A114" t="s">
        <v>850</v>
      </c>
      <c r="G114" t="s">
        <v>757</v>
      </c>
      <c r="H114" s="5" t="s">
        <v>1131</v>
      </c>
      <c r="I114" s="5" t="s">
        <v>756</v>
      </c>
      <c r="J114" s="5">
        <v>440</v>
      </c>
      <c r="K114" s="5" t="s">
        <v>491</v>
      </c>
      <c r="N114" t="s">
        <v>1132</v>
      </c>
      <c r="O114" t="s">
        <v>716</v>
      </c>
      <c r="P114" t="s">
        <v>1133</v>
      </c>
      <c r="Q114" t="s">
        <v>1134</v>
      </c>
    </row>
    <row r="115" spans="1:17" x14ac:dyDescent="0.25">
      <c r="A115" t="s">
        <v>858</v>
      </c>
      <c r="G115" t="s">
        <v>764</v>
      </c>
      <c r="H115" s="5" t="s">
        <v>1135</v>
      </c>
      <c r="I115" s="5" t="s">
        <v>763</v>
      </c>
      <c r="J115" s="5">
        <v>442</v>
      </c>
      <c r="K115" s="5" t="s">
        <v>491</v>
      </c>
      <c r="N115" t="s">
        <v>1136</v>
      </c>
      <c r="O115" t="s">
        <v>716</v>
      </c>
      <c r="P115" t="s">
        <v>1133</v>
      </c>
      <c r="Q115" t="s">
        <v>1137</v>
      </c>
    </row>
    <row r="116" spans="1:17" x14ac:dyDescent="0.25">
      <c r="A116" t="s">
        <v>863</v>
      </c>
      <c r="G116" t="s">
        <v>1138</v>
      </c>
      <c r="H116" s="5" t="s">
        <v>1139</v>
      </c>
      <c r="I116" s="5" t="s">
        <v>1140</v>
      </c>
      <c r="J116" s="5">
        <v>446</v>
      </c>
      <c r="K116" s="5" t="s">
        <v>542</v>
      </c>
      <c r="N116" t="s">
        <v>1141</v>
      </c>
      <c r="O116" t="s">
        <v>716</v>
      </c>
      <c r="P116" t="s">
        <v>1142</v>
      </c>
      <c r="Q116" t="s">
        <v>1143</v>
      </c>
    </row>
    <row r="117" spans="1:17" x14ac:dyDescent="0.25">
      <c r="A117" t="s">
        <v>870</v>
      </c>
      <c r="G117" t="s">
        <v>1144</v>
      </c>
      <c r="H117" s="5" t="s">
        <v>1145</v>
      </c>
      <c r="I117" s="5" t="s">
        <v>1146</v>
      </c>
      <c r="J117" s="5">
        <v>450</v>
      </c>
      <c r="K117" s="5" t="s">
        <v>517</v>
      </c>
      <c r="N117" t="s">
        <v>1147</v>
      </c>
      <c r="O117" t="s">
        <v>716</v>
      </c>
      <c r="P117" t="s">
        <v>1142</v>
      </c>
      <c r="Q117" t="s">
        <v>1148</v>
      </c>
    </row>
    <row r="118" spans="1:17" x14ac:dyDescent="0.25">
      <c r="A118" t="s">
        <v>875</v>
      </c>
      <c r="G118" t="s">
        <v>1149</v>
      </c>
      <c r="H118" s="5" t="s">
        <v>1150</v>
      </c>
      <c r="I118" s="5" t="s">
        <v>1151</v>
      </c>
      <c r="J118" s="5">
        <v>454</v>
      </c>
      <c r="K118" s="5" t="s">
        <v>517</v>
      </c>
      <c r="N118" t="s">
        <v>1152</v>
      </c>
      <c r="O118" t="s">
        <v>716</v>
      </c>
      <c r="P118" t="s">
        <v>1142</v>
      </c>
      <c r="Q118" t="s">
        <v>1153</v>
      </c>
    </row>
    <row r="119" spans="1:17" x14ac:dyDescent="0.25">
      <c r="A119" t="s">
        <v>880</v>
      </c>
      <c r="G119" t="s">
        <v>1154</v>
      </c>
      <c r="H119" s="5" t="s">
        <v>1155</v>
      </c>
      <c r="I119" s="5" t="s">
        <v>1156</v>
      </c>
      <c r="J119" s="5">
        <v>458</v>
      </c>
      <c r="K119" s="5" t="s">
        <v>557</v>
      </c>
      <c r="N119" t="s">
        <v>1157</v>
      </c>
      <c r="O119" t="s">
        <v>716</v>
      </c>
      <c r="P119" t="s">
        <v>1158</v>
      </c>
      <c r="Q119" t="s">
        <v>1158</v>
      </c>
    </row>
    <row r="120" spans="1:17" x14ac:dyDescent="0.25">
      <c r="A120" t="s">
        <v>886</v>
      </c>
      <c r="G120" t="s">
        <v>1159</v>
      </c>
      <c r="H120" s="5" t="s">
        <v>1160</v>
      </c>
      <c r="I120" s="5" t="s">
        <v>1161</v>
      </c>
      <c r="J120" s="5">
        <v>462</v>
      </c>
      <c r="K120" s="5" t="s">
        <v>481</v>
      </c>
      <c r="N120" t="s">
        <v>1162</v>
      </c>
      <c r="O120" t="s">
        <v>716</v>
      </c>
      <c r="P120" t="s">
        <v>1163</v>
      </c>
      <c r="Q120" t="s">
        <v>1163</v>
      </c>
    </row>
    <row r="121" spans="1:17" x14ac:dyDescent="0.25">
      <c r="A121" t="s">
        <v>891</v>
      </c>
      <c r="G121" t="s">
        <v>1164</v>
      </c>
      <c r="H121" s="5" t="s">
        <v>1165</v>
      </c>
      <c r="I121" s="5" t="s">
        <v>1166</v>
      </c>
      <c r="J121" s="5">
        <v>466</v>
      </c>
      <c r="K121" s="5" t="s">
        <v>517</v>
      </c>
      <c r="N121" t="s">
        <v>1167</v>
      </c>
      <c r="O121" t="s">
        <v>716</v>
      </c>
      <c r="P121" t="s">
        <v>1168</v>
      </c>
      <c r="Q121" t="s">
        <v>1169</v>
      </c>
    </row>
    <row r="122" spans="1:17" x14ac:dyDescent="0.25">
      <c r="A122" s="37">
        <v>36861</v>
      </c>
      <c r="G122" t="s">
        <v>776</v>
      </c>
      <c r="H122" s="5" t="s">
        <v>1170</v>
      </c>
      <c r="I122" s="5" t="s">
        <v>775</v>
      </c>
      <c r="J122" s="5">
        <v>470</v>
      </c>
      <c r="K122" s="5" t="s">
        <v>491</v>
      </c>
      <c r="N122" t="s">
        <v>1171</v>
      </c>
      <c r="O122" t="s">
        <v>716</v>
      </c>
      <c r="P122" t="s">
        <v>1168</v>
      </c>
      <c r="Q122" t="s">
        <v>1172</v>
      </c>
    </row>
    <row r="123" spans="1:17" x14ac:dyDescent="0.25">
      <c r="A123" t="s">
        <v>898</v>
      </c>
      <c r="G123" t="s">
        <v>1173</v>
      </c>
      <c r="H123" s="5" t="s">
        <v>1174</v>
      </c>
      <c r="I123" s="5" t="s">
        <v>1175</v>
      </c>
      <c r="J123" s="5">
        <v>584</v>
      </c>
      <c r="K123" s="5" t="s">
        <v>481</v>
      </c>
      <c r="N123" t="s">
        <v>1176</v>
      </c>
      <c r="O123" t="s">
        <v>716</v>
      </c>
      <c r="P123" t="s">
        <v>1168</v>
      </c>
      <c r="Q123" t="s">
        <v>1177</v>
      </c>
    </row>
    <row r="124" spans="1:17" x14ac:dyDescent="0.25">
      <c r="A124" t="s">
        <v>904</v>
      </c>
      <c r="G124" t="s">
        <v>1178</v>
      </c>
      <c r="H124" s="5" t="s">
        <v>1179</v>
      </c>
      <c r="I124" s="5" t="s">
        <v>1180</v>
      </c>
      <c r="J124" s="5">
        <v>478</v>
      </c>
      <c r="K124" s="5" t="s">
        <v>517</v>
      </c>
      <c r="N124" t="s">
        <v>1181</v>
      </c>
      <c r="O124" t="s">
        <v>716</v>
      </c>
      <c r="P124" t="s">
        <v>1182</v>
      </c>
      <c r="Q124" t="s">
        <v>1183</v>
      </c>
    </row>
    <row r="125" spans="1:17" x14ac:dyDescent="0.25">
      <c r="A125" t="s">
        <v>909</v>
      </c>
      <c r="G125" t="s">
        <v>1184</v>
      </c>
      <c r="H125" s="5" t="s">
        <v>1185</v>
      </c>
      <c r="I125" s="5" t="s">
        <v>1186</v>
      </c>
      <c r="J125" s="5">
        <v>480</v>
      </c>
      <c r="K125" s="5" t="s">
        <v>517</v>
      </c>
      <c r="N125" t="s">
        <v>1187</v>
      </c>
      <c r="O125" t="s">
        <v>716</v>
      </c>
      <c r="P125" t="s">
        <v>1182</v>
      </c>
      <c r="Q125" t="s">
        <v>1188</v>
      </c>
    </row>
    <row r="126" spans="1:17" x14ac:dyDescent="0.25">
      <c r="A126" t="s">
        <v>914</v>
      </c>
      <c r="G126" t="s">
        <v>1189</v>
      </c>
      <c r="H126" s="5" t="s">
        <v>1190</v>
      </c>
      <c r="I126" s="5" t="s">
        <v>1191</v>
      </c>
      <c r="J126" s="5">
        <v>484</v>
      </c>
      <c r="K126" s="5" t="s">
        <v>503</v>
      </c>
      <c r="N126" t="s">
        <v>1192</v>
      </c>
      <c r="O126" t="s">
        <v>716</v>
      </c>
      <c r="P126" t="s">
        <v>1193</v>
      </c>
      <c r="Q126" t="s">
        <v>1194</v>
      </c>
    </row>
    <row r="127" spans="1:17" x14ac:dyDescent="0.25">
      <c r="A127" t="s">
        <v>917</v>
      </c>
      <c r="G127" t="s">
        <v>1195</v>
      </c>
      <c r="H127" s="5" t="s">
        <v>1196</v>
      </c>
      <c r="I127" s="5" t="s">
        <v>1197</v>
      </c>
      <c r="J127" s="5">
        <v>583</v>
      </c>
      <c r="K127" s="5" t="s">
        <v>481</v>
      </c>
      <c r="N127" t="s">
        <v>1198</v>
      </c>
      <c r="O127" t="s">
        <v>716</v>
      </c>
      <c r="P127" t="s">
        <v>1193</v>
      </c>
      <c r="Q127" t="s">
        <v>1199</v>
      </c>
    </row>
    <row r="128" spans="1:17" x14ac:dyDescent="0.25">
      <c r="A128" t="s">
        <v>920</v>
      </c>
      <c r="G128" t="s">
        <v>1200</v>
      </c>
      <c r="H128" s="5" t="s">
        <v>1201</v>
      </c>
      <c r="I128" s="5" t="s">
        <v>1202</v>
      </c>
      <c r="J128" s="5">
        <v>492</v>
      </c>
      <c r="K128" s="5" t="s">
        <v>491</v>
      </c>
      <c r="N128" t="s">
        <v>1203</v>
      </c>
      <c r="O128" t="s">
        <v>716</v>
      </c>
      <c r="P128" t="s">
        <v>1204</v>
      </c>
      <c r="Q128" t="s">
        <v>1204</v>
      </c>
    </row>
    <row r="129" spans="1:17" x14ac:dyDescent="0.25">
      <c r="A129" t="s">
        <v>925</v>
      </c>
      <c r="G129" t="s">
        <v>1205</v>
      </c>
      <c r="H129" s="5" t="s">
        <v>1206</v>
      </c>
      <c r="I129" s="5" t="s">
        <v>1207</v>
      </c>
      <c r="J129" s="5">
        <v>496</v>
      </c>
      <c r="K129" s="5" t="s">
        <v>481</v>
      </c>
      <c r="N129" t="s">
        <v>1208</v>
      </c>
      <c r="O129" t="s">
        <v>716</v>
      </c>
      <c r="P129" t="s">
        <v>1209</v>
      </c>
      <c r="Q129" t="s">
        <v>1209</v>
      </c>
    </row>
    <row r="130" spans="1:17" x14ac:dyDescent="0.25">
      <c r="A130" t="s">
        <v>930</v>
      </c>
      <c r="G130" t="s">
        <v>1210</v>
      </c>
      <c r="H130" s="5" t="s">
        <v>1211</v>
      </c>
      <c r="I130" s="5" t="s">
        <v>1212</v>
      </c>
      <c r="J130" s="5">
        <v>499</v>
      </c>
      <c r="K130" s="5" t="s">
        <v>491</v>
      </c>
      <c r="N130" t="s">
        <v>1213</v>
      </c>
      <c r="O130" t="s">
        <v>716</v>
      </c>
      <c r="P130" t="s">
        <v>1214</v>
      </c>
      <c r="Q130" t="s">
        <v>967</v>
      </c>
    </row>
    <row r="131" spans="1:17" x14ac:dyDescent="0.25">
      <c r="A131" t="s">
        <v>936</v>
      </c>
      <c r="G131" t="s">
        <v>1215</v>
      </c>
      <c r="H131" s="5" t="s">
        <v>1216</v>
      </c>
      <c r="I131" s="5" t="s">
        <v>1217</v>
      </c>
      <c r="J131" s="5">
        <v>500</v>
      </c>
      <c r="K131" s="5" t="s">
        <v>503</v>
      </c>
      <c r="N131" t="s">
        <v>1218</v>
      </c>
      <c r="O131" t="s">
        <v>716</v>
      </c>
      <c r="P131" t="s">
        <v>1214</v>
      </c>
      <c r="Q131" t="s">
        <v>1219</v>
      </c>
    </row>
    <row r="132" spans="1:17" x14ac:dyDescent="0.25">
      <c r="A132" t="s">
        <v>941</v>
      </c>
      <c r="G132" t="s">
        <v>1220</v>
      </c>
      <c r="H132" s="5" t="s">
        <v>1221</v>
      </c>
      <c r="I132" s="5" t="s">
        <v>1222</v>
      </c>
      <c r="J132" s="5">
        <v>504</v>
      </c>
      <c r="K132" s="5" t="s">
        <v>500</v>
      </c>
      <c r="N132" t="s">
        <v>1223</v>
      </c>
      <c r="O132" t="s">
        <v>716</v>
      </c>
      <c r="P132" t="s">
        <v>1214</v>
      </c>
      <c r="Q132" t="s">
        <v>1224</v>
      </c>
    </row>
    <row r="133" spans="1:17" x14ac:dyDescent="0.25">
      <c r="A133" t="s">
        <v>944</v>
      </c>
      <c r="G133" t="s">
        <v>1225</v>
      </c>
      <c r="H133" s="5" t="s">
        <v>1226</v>
      </c>
      <c r="I133" s="5" t="s">
        <v>1227</v>
      </c>
      <c r="J133" s="5">
        <v>508</v>
      </c>
      <c r="K133" s="5" t="s">
        <v>517</v>
      </c>
      <c r="N133" t="s">
        <v>1228</v>
      </c>
      <c r="O133" t="s">
        <v>716</v>
      </c>
      <c r="P133" t="s">
        <v>1214</v>
      </c>
      <c r="Q133" t="s">
        <v>1229</v>
      </c>
    </row>
    <row r="134" spans="1:17" x14ac:dyDescent="0.25">
      <c r="A134" t="s">
        <v>950</v>
      </c>
      <c r="G134" t="s">
        <v>1230</v>
      </c>
      <c r="H134" s="5" t="s">
        <v>1231</v>
      </c>
      <c r="I134" s="5" t="s">
        <v>1232</v>
      </c>
      <c r="J134" s="5">
        <v>104</v>
      </c>
      <c r="K134" s="5" t="s">
        <v>557</v>
      </c>
      <c r="N134" t="s">
        <v>1233</v>
      </c>
      <c r="O134" t="s">
        <v>716</v>
      </c>
      <c r="P134" t="s">
        <v>1214</v>
      </c>
      <c r="Q134" t="s">
        <v>1234</v>
      </c>
    </row>
    <row r="135" spans="1:17" x14ac:dyDescent="0.25">
      <c r="A135" t="s">
        <v>956</v>
      </c>
      <c r="G135" t="s">
        <v>1235</v>
      </c>
      <c r="H135" s="5" t="s">
        <v>1236</v>
      </c>
      <c r="I135" s="5" t="s">
        <v>586</v>
      </c>
      <c r="J135" s="5">
        <v>516</v>
      </c>
      <c r="K135" s="5" t="s">
        <v>517</v>
      </c>
      <c r="N135" t="s">
        <v>1237</v>
      </c>
      <c r="O135" t="s">
        <v>1238</v>
      </c>
      <c r="P135" t="s">
        <v>1238</v>
      </c>
      <c r="Q135" t="s">
        <v>1239</v>
      </c>
    </row>
    <row r="136" spans="1:17" x14ac:dyDescent="0.25">
      <c r="A136" t="s">
        <v>959</v>
      </c>
      <c r="G136" t="s">
        <v>1240</v>
      </c>
      <c r="H136" s="5" t="s">
        <v>1241</v>
      </c>
      <c r="I136" s="5" t="s">
        <v>1242</v>
      </c>
      <c r="J136" s="5">
        <v>520</v>
      </c>
      <c r="K136" s="5" t="s">
        <v>481</v>
      </c>
      <c r="N136" t="s">
        <v>1243</v>
      </c>
      <c r="O136" t="s">
        <v>1238</v>
      </c>
      <c r="P136" t="s">
        <v>1238</v>
      </c>
      <c r="Q136" t="s">
        <v>1244</v>
      </c>
    </row>
    <row r="137" spans="1:17" x14ac:dyDescent="0.25">
      <c r="A137" t="s">
        <v>964</v>
      </c>
      <c r="G137" t="s">
        <v>1245</v>
      </c>
      <c r="H137" s="5" t="s">
        <v>1246</v>
      </c>
      <c r="I137" s="5" t="s">
        <v>1247</v>
      </c>
      <c r="J137" s="5">
        <v>524</v>
      </c>
      <c r="K137" s="5" t="s">
        <v>481</v>
      </c>
      <c r="N137" t="s">
        <v>1248</v>
      </c>
      <c r="O137" t="s">
        <v>1238</v>
      </c>
      <c r="P137" t="s">
        <v>1238</v>
      </c>
      <c r="Q137" t="s">
        <v>1249</v>
      </c>
    </row>
    <row r="138" spans="1:17" x14ac:dyDescent="0.25">
      <c r="A138" t="s">
        <v>970</v>
      </c>
      <c r="G138" t="s">
        <v>782</v>
      </c>
      <c r="H138" s="5" t="s">
        <v>1250</v>
      </c>
      <c r="I138" s="5" t="s">
        <v>169</v>
      </c>
      <c r="J138" s="5">
        <v>528</v>
      </c>
      <c r="K138" s="5" t="s">
        <v>491</v>
      </c>
      <c r="N138" t="s">
        <v>1251</v>
      </c>
      <c r="O138" t="s">
        <v>1238</v>
      </c>
      <c r="P138" t="s">
        <v>1238</v>
      </c>
      <c r="Q138" t="s">
        <v>1252</v>
      </c>
    </row>
    <row r="139" spans="1:17" x14ac:dyDescent="0.25">
      <c r="A139" t="s">
        <v>975</v>
      </c>
      <c r="G139" t="s">
        <v>1253</v>
      </c>
      <c r="H139" s="5" t="e">
        <v>#N/A</v>
      </c>
      <c r="I139" s="5" t="s">
        <v>1254</v>
      </c>
      <c r="J139" s="5" t="e">
        <v>#N/A</v>
      </c>
      <c r="K139" s="5" t="s">
        <v>503</v>
      </c>
      <c r="N139" t="s">
        <v>1255</v>
      </c>
      <c r="O139" t="s">
        <v>1256</v>
      </c>
      <c r="P139" t="s">
        <v>1257</v>
      </c>
      <c r="Q139" t="s">
        <v>1258</v>
      </c>
    </row>
    <row r="140" spans="1:17" x14ac:dyDescent="0.25">
      <c r="A140" t="s">
        <v>980</v>
      </c>
      <c r="G140" t="s">
        <v>1259</v>
      </c>
      <c r="H140" s="5" t="s">
        <v>1260</v>
      </c>
      <c r="I140" s="5" t="s">
        <v>1261</v>
      </c>
      <c r="J140" s="5">
        <v>540</v>
      </c>
      <c r="K140" s="5" t="s">
        <v>481</v>
      </c>
      <c r="N140" t="s">
        <v>1262</v>
      </c>
      <c r="O140" t="s">
        <v>1256</v>
      </c>
      <c r="P140" t="s">
        <v>1257</v>
      </c>
      <c r="Q140" t="s">
        <v>1263</v>
      </c>
    </row>
    <row r="141" spans="1:17" x14ac:dyDescent="0.25">
      <c r="A141" t="s">
        <v>985</v>
      </c>
      <c r="G141" t="s">
        <v>1264</v>
      </c>
      <c r="H141" s="5" t="s">
        <v>1265</v>
      </c>
      <c r="I141" s="5" t="s">
        <v>1266</v>
      </c>
      <c r="J141" s="5">
        <v>554</v>
      </c>
      <c r="K141" s="5" t="s">
        <v>563</v>
      </c>
      <c r="N141" t="s">
        <v>1267</v>
      </c>
      <c r="O141" t="s">
        <v>1256</v>
      </c>
      <c r="P141" t="s">
        <v>1257</v>
      </c>
      <c r="Q141" t="s">
        <v>1268</v>
      </c>
    </row>
    <row r="142" spans="1:17" x14ac:dyDescent="0.25">
      <c r="A142" t="s">
        <v>991</v>
      </c>
      <c r="G142" t="s">
        <v>1269</v>
      </c>
      <c r="H142" s="5" t="s">
        <v>1270</v>
      </c>
      <c r="I142" s="5" t="s">
        <v>1271</v>
      </c>
      <c r="J142" s="5">
        <v>558</v>
      </c>
      <c r="K142" s="5" t="s">
        <v>503</v>
      </c>
      <c r="N142" t="s">
        <v>1272</v>
      </c>
      <c r="O142" t="s">
        <v>1256</v>
      </c>
      <c r="P142" t="s">
        <v>1257</v>
      </c>
      <c r="Q142" t="s">
        <v>1273</v>
      </c>
    </row>
    <row r="143" spans="1:17" x14ac:dyDescent="0.25">
      <c r="A143" t="s">
        <v>996</v>
      </c>
      <c r="G143" t="s">
        <v>1274</v>
      </c>
      <c r="H143" s="5" t="s">
        <v>1275</v>
      </c>
      <c r="I143" s="5" t="s">
        <v>1276</v>
      </c>
      <c r="J143" s="5">
        <v>562</v>
      </c>
      <c r="K143" s="5" t="s">
        <v>517</v>
      </c>
      <c r="N143" t="s">
        <v>1277</v>
      </c>
      <c r="O143" t="s">
        <v>1256</v>
      </c>
      <c r="P143" t="s">
        <v>1278</v>
      </c>
      <c r="Q143" t="s">
        <v>1279</v>
      </c>
    </row>
    <row r="144" spans="1:17" x14ac:dyDescent="0.25">
      <c r="A144" t="s">
        <v>1001</v>
      </c>
      <c r="G144" t="s">
        <v>1280</v>
      </c>
      <c r="H144" s="5" t="s">
        <v>1281</v>
      </c>
      <c r="I144" s="5" t="s">
        <v>1282</v>
      </c>
      <c r="J144" s="5">
        <v>566</v>
      </c>
      <c r="K144" s="5" t="s">
        <v>517</v>
      </c>
      <c r="N144" t="s">
        <v>1283</v>
      </c>
      <c r="O144" t="s">
        <v>1256</v>
      </c>
      <c r="P144" t="s">
        <v>1278</v>
      </c>
      <c r="Q144" t="s">
        <v>1284</v>
      </c>
    </row>
    <row r="145" spans="1:17" x14ac:dyDescent="0.25">
      <c r="A145" t="s">
        <v>1006</v>
      </c>
      <c r="G145" t="s">
        <v>1285</v>
      </c>
      <c r="H145" s="5" t="s">
        <v>1286</v>
      </c>
      <c r="I145" s="5" t="s">
        <v>1287</v>
      </c>
      <c r="J145" s="5">
        <v>570</v>
      </c>
      <c r="K145" s="5" t="s">
        <v>481</v>
      </c>
      <c r="N145" t="s">
        <v>1288</v>
      </c>
      <c r="O145" t="s">
        <v>1256</v>
      </c>
      <c r="P145" t="s">
        <v>1278</v>
      </c>
      <c r="Q145" t="s">
        <v>1289</v>
      </c>
    </row>
    <row r="146" spans="1:17" x14ac:dyDescent="0.25">
      <c r="A146" t="s">
        <v>1011</v>
      </c>
      <c r="G146" t="s">
        <v>848</v>
      </c>
      <c r="H146" s="5" t="s">
        <v>1290</v>
      </c>
      <c r="I146" s="5" t="s">
        <v>847</v>
      </c>
      <c r="J146" s="5">
        <v>578</v>
      </c>
      <c r="K146" s="5" t="s">
        <v>491</v>
      </c>
      <c r="N146" t="s">
        <v>1291</v>
      </c>
      <c r="O146" t="s">
        <v>1256</v>
      </c>
      <c r="P146" t="s">
        <v>1278</v>
      </c>
      <c r="Q146" t="s">
        <v>1292</v>
      </c>
    </row>
    <row r="147" spans="1:17" x14ac:dyDescent="0.25">
      <c r="A147" t="s">
        <v>1016</v>
      </c>
      <c r="G147" t="s">
        <v>1293</v>
      </c>
      <c r="H147" s="5" t="s">
        <v>1294</v>
      </c>
      <c r="I147" s="5" t="s">
        <v>1295</v>
      </c>
      <c r="J147" s="5">
        <v>512</v>
      </c>
      <c r="K147" s="5" t="s">
        <v>500</v>
      </c>
      <c r="N147" t="s">
        <v>1296</v>
      </c>
      <c r="O147" t="s">
        <v>1256</v>
      </c>
      <c r="P147" t="s">
        <v>1278</v>
      </c>
      <c r="Q147" t="s">
        <v>1297</v>
      </c>
    </row>
    <row r="148" spans="1:17" x14ac:dyDescent="0.25">
      <c r="A148" t="s">
        <v>1021</v>
      </c>
      <c r="G148" t="s">
        <v>1298</v>
      </c>
      <c r="H148" s="5" t="s">
        <v>1299</v>
      </c>
      <c r="I148" s="5" t="s">
        <v>1300</v>
      </c>
      <c r="J148" s="5">
        <v>586</v>
      </c>
      <c r="K148" s="5" t="s">
        <v>481</v>
      </c>
      <c r="N148" t="s">
        <v>1301</v>
      </c>
      <c r="O148" t="s">
        <v>1256</v>
      </c>
      <c r="P148" t="s">
        <v>1278</v>
      </c>
      <c r="Q148" t="s">
        <v>1302</v>
      </c>
    </row>
    <row r="149" spans="1:17" x14ac:dyDescent="0.25">
      <c r="A149" t="s">
        <v>1024</v>
      </c>
      <c r="G149" t="s">
        <v>1303</v>
      </c>
      <c r="H149" s="5" t="s">
        <v>1304</v>
      </c>
      <c r="I149" s="5" t="s">
        <v>1305</v>
      </c>
      <c r="J149" s="5">
        <v>585</v>
      </c>
      <c r="K149" s="5" t="s">
        <v>481</v>
      </c>
      <c r="N149" t="s">
        <v>1306</v>
      </c>
      <c r="O149" t="s">
        <v>1256</v>
      </c>
      <c r="P149" t="s">
        <v>1307</v>
      </c>
      <c r="Q149" t="s">
        <v>1308</v>
      </c>
    </row>
    <row r="150" spans="1:17" x14ac:dyDescent="0.25">
      <c r="A150" t="s">
        <v>1030</v>
      </c>
      <c r="G150" t="s">
        <v>1309</v>
      </c>
      <c r="H150" s="5" t="s">
        <v>1310</v>
      </c>
      <c r="I150" s="5" t="s">
        <v>1311</v>
      </c>
      <c r="J150" s="5">
        <v>275</v>
      </c>
      <c r="K150" s="5" t="s">
        <v>500</v>
      </c>
      <c r="N150" t="s">
        <v>1312</v>
      </c>
      <c r="O150" t="s">
        <v>1256</v>
      </c>
      <c r="P150" t="s">
        <v>1307</v>
      </c>
      <c r="Q150" t="s">
        <v>1313</v>
      </c>
    </row>
    <row r="151" spans="1:17" x14ac:dyDescent="0.25">
      <c r="A151" t="s">
        <v>1035</v>
      </c>
      <c r="G151" t="s">
        <v>1314</v>
      </c>
      <c r="H151" s="5" t="s">
        <v>1315</v>
      </c>
      <c r="I151" s="5" t="s">
        <v>1316</v>
      </c>
      <c r="J151" s="5">
        <v>591</v>
      </c>
      <c r="K151" s="5" t="s">
        <v>503</v>
      </c>
      <c r="N151" t="s">
        <v>1317</v>
      </c>
      <c r="O151" t="s">
        <v>1256</v>
      </c>
      <c r="P151" t="s">
        <v>1318</v>
      </c>
      <c r="Q151" t="s">
        <v>1319</v>
      </c>
    </row>
    <row r="152" spans="1:17" x14ac:dyDescent="0.25">
      <c r="A152" t="s">
        <v>1040</v>
      </c>
      <c r="G152" t="s">
        <v>1320</v>
      </c>
      <c r="H152" s="5" t="s">
        <v>1321</v>
      </c>
      <c r="I152" s="5" t="s">
        <v>1322</v>
      </c>
      <c r="J152" s="5">
        <v>598</v>
      </c>
      <c r="K152" s="5" t="s">
        <v>481</v>
      </c>
      <c r="N152" t="s">
        <v>1323</v>
      </c>
      <c r="O152" t="s">
        <v>1256</v>
      </c>
      <c r="P152" t="s">
        <v>1318</v>
      </c>
      <c r="Q152" t="s">
        <v>1324</v>
      </c>
    </row>
    <row r="153" spans="1:17" x14ac:dyDescent="0.25">
      <c r="A153" t="s">
        <v>1043</v>
      </c>
      <c r="G153" t="s">
        <v>1325</v>
      </c>
      <c r="H153" s="5" t="s">
        <v>1326</v>
      </c>
      <c r="I153" s="5" t="s">
        <v>1327</v>
      </c>
      <c r="J153" s="5">
        <v>600</v>
      </c>
      <c r="K153" s="5" t="s">
        <v>503</v>
      </c>
      <c r="N153" t="s">
        <v>1328</v>
      </c>
      <c r="O153" t="s">
        <v>1256</v>
      </c>
      <c r="P153" t="s">
        <v>1318</v>
      </c>
      <c r="Q153" t="s">
        <v>1329</v>
      </c>
    </row>
    <row r="154" spans="1:17" x14ac:dyDescent="0.25">
      <c r="A154" t="s">
        <v>1048</v>
      </c>
      <c r="G154" t="s">
        <v>1330</v>
      </c>
      <c r="H154" s="5" t="s">
        <v>1331</v>
      </c>
      <c r="I154" s="5" t="s">
        <v>1332</v>
      </c>
      <c r="J154" s="5">
        <v>604</v>
      </c>
      <c r="K154" s="5" t="s">
        <v>503</v>
      </c>
      <c r="N154" t="s">
        <v>1333</v>
      </c>
      <c r="O154" t="s">
        <v>1256</v>
      </c>
      <c r="P154" t="s">
        <v>1318</v>
      </c>
      <c r="Q154" t="s">
        <v>1334</v>
      </c>
    </row>
    <row r="155" spans="1:17" x14ac:dyDescent="0.25">
      <c r="A155" t="s">
        <v>1052</v>
      </c>
      <c r="G155" t="s">
        <v>1335</v>
      </c>
      <c r="H155" s="5" t="s">
        <v>1336</v>
      </c>
      <c r="I155" s="5" t="s">
        <v>1337</v>
      </c>
      <c r="J155" s="5">
        <v>608</v>
      </c>
      <c r="K155" s="5" t="s">
        <v>557</v>
      </c>
      <c r="N155" t="s">
        <v>1338</v>
      </c>
      <c r="O155" t="s">
        <v>1256</v>
      </c>
      <c r="P155" t="s">
        <v>1318</v>
      </c>
      <c r="Q155" t="s">
        <v>1339</v>
      </c>
    </row>
    <row r="156" spans="1:17" x14ac:dyDescent="0.25">
      <c r="A156" t="s">
        <v>1057</v>
      </c>
      <c r="G156" t="s">
        <v>789</v>
      </c>
      <c r="H156" s="5" t="s">
        <v>1340</v>
      </c>
      <c r="I156" s="5" t="s">
        <v>788</v>
      </c>
      <c r="J156" s="5">
        <v>616</v>
      </c>
      <c r="K156" s="5" t="s">
        <v>491</v>
      </c>
      <c r="N156" t="s">
        <v>1341</v>
      </c>
      <c r="O156" t="s">
        <v>1256</v>
      </c>
      <c r="P156" t="s">
        <v>1342</v>
      </c>
      <c r="Q156" t="s">
        <v>1343</v>
      </c>
    </row>
    <row r="157" spans="1:17" x14ac:dyDescent="0.25">
      <c r="A157" t="s">
        <v>1062</v>
      </c>
      <c r="G157" t="s">
        <v>796</v>
      </c>
      <c r="H157" s="5" t="s">
        <v>1344</v>
      </c>
      <c r="I157" s="5" t="s">
        <v>795</v>
      </c>
      <c r="J157" s="5">
        <v>620</v>
      </c>
      <c r="K157" s="5" t="s">
        <v>491</v>
      </c>
      <c r="N157" t="s">
        <v>1345</v>
      </c>
      <c r="O157" t="s">
        <v>1256</v>
      </c>
      <c r="P157" t="s">
        <v>1342</v>
      </c>
      <c r="Q157" t="s">
        <v>1346</v>
      </c>
    </row>
    <row r="158" spans="1:17" x14ac:dyDescent="0.25">
      <c r="A158" t="s">
        <v>1068</v>
      </c>
      <c r="G158" t="s">
        <v>1347</v>
      </c>
      <c r="H158" s="5" t="s">
        <v>1348</v>
      </c>
      <c r="I158" s="5" t="s">
        <v>1349</v>
      </c>
      <c r="J158" s="5">
        <v>634</v>
      </c>
      <c r="K158" s="5" t="s">
        <v>500</v>
      </c>
      <c r="N158" t="s">
        <v>1350</v>
      </c>
      <c r="O158" t="s">
        <v>1256</v>
      </c>
      <c r="P158" t="s">
        <v>1342</v>
      </c>
      <c r="Q158" t="s">
        <v>1351</v>
      </c>
    </row>
    <row r="159" spans="1:17" x14ac:dyDescent="0.25">
      <c r="A159" t="s">
        <v>1073</v>
      </c>
      <c r="G159" t="s">
        <v>1352</v>
      </c>
      <c r="H159" s="5" t="s">
        <v>1353</v>
      </c>
      <c r="I159" s="5" t="s">
        <v>1354</v>
      </c>
      <c r="J159" s="5">
        <v>410</v>
      </c>
      <c r="K159" s="5" t="s">
        <v>557</v>
      </c>
      <c r="N159" t="s">
        <v>1355</v>
      </c>
      <c r="O159" t="s">
        <v>1256</v>
      </c>
      <c r="P159" t="s">
        <v>1342</v>
      </c>
      <c r="Q159" t="s">
        <v>1356</v>
      </c>
    </row>
    <row r="160" spans="1:17" x14ac:dyDescent="0.25">
      <c r="A160" t="s">
        <v>1078</v>
      </c>
      <c r="G160" t="s">
        <v>1357</v>
      </c>
      <c r="H160" s="5" t="s">
        <v>1358</v>
      </c>
      <c r="I160" s="5" t="s">
        <v>1359</v>
      </c>
      <c r="J160" s="5">
        <v>498</v>
      </c>
      <c r="K160" s="5" t="s">
        <v>511</v>
      </c>
      <c r="N160" t="s">
        <v>1360</v>
      </c>
      <c r="O160" t="s">
        <v>1361</v>
      </c>
      <c r="P160" t="s">
        <v>1361</v>
      </c>
      <c r="Q160" t="s">
        <v>1361</v>
      </c>
    </row>
    <row r="161" spans="1:17" x14ac:dyDescent="0.25">
      <c r="A161" t="s">
        <v>1084</v>
      </c>
      <c r="G161" t="s">
        <v>1362</v>
      </c>
      <c r="H161" s="5" t="s">
        <v>1363</v>
      </c>
      <c r="I161" s="5" t="s">
        <v>853</v>
      </c>
      <c r="J161" s="5">
        <v>638</v>
      </c>
      <c r="K161" s="5" t="s">
        <v>517</v>
      </c>
      <c r="N161" t="s">
        <v>1364</v>
      </c>
      <c r="O161" t="s">
        <v>1365</v>
      </c>
      <c r="P161" t="s">
        <v>1365</v>
      </c>
      <c r="Q161" t="s">
        <v>1365</v>
      </c>
    </row>
    <row r="162" spans="1:17" x14ac:dyDescent="0.25">
      <c r="A162" t="s">
        <v>1089</v>
      </c>
      <c r="G162" t="s">
        <v>804</v>
      </c>
      <c r="H162" s="5" t="s">
        <v>1366</v>
      </c>
      <c r="I162" s="5" t="s">
        <v>803</v>
      </c>
      <c r="J162" s="5">
        <v>642</v>
      </c>
      <c r="K162" s="5" t="s">
        <v>491</v>
      </c>
      <c r="N162" t="s">
        <v>1367</v>
      </c>
      <c r="O162" t="s">
        <v>1368</v>
      </c>
      <c r="P162" t="s">
        <v>1368</v>
      </c>
      <c r="Q162" t="s">
        <v>1369</v>
      </c>
    </row>
    <row r="163" spans="1:17" x14ac:dyDescent="0.25">
      <c r="A163" t="s">
        <v>1094</v>
      </c>
      <c r="G163" t="s">
        <v>1370</v>
      </c>
      <c r="H163" s="5" t="s">
        <v>1371</v>
      </c>
      <c r="I163" s="5" t="s">
        <v>1372</v>
      </c>
      <c r="J163" s="5">
        <v>643</v>
      </c>
      <c r="K163" s="5" t="s">
        <v>511</v>
      </c>
      <c r="N163" t="s">
        <v>1373</v>
      </c>
      <c r="O163" t="s">
        <v>1368</v>
      </c>
      <c r="P163" t="s">
        <v>1368</v>
      </c>
      <c r="Q163" t="s">
        <v>1374</v>
      </c>
    </row>
    <row r="164" spans="1:17" x14ac:dyDescent="0.25">
      <c r="A164" t="s">
        <v>1099</v>
      </c>
      <c r="G164" t="s">
        <v>1375</v>
      </c>
      <c r="H164" s="5" t="s">
        <v>1376</v>
      </c>
      <c r="I164" s="5" t="s">
        <v>1377</v>
      </c>
      <c r="J164" s="5">
        <v>646</v>
      </c>
      <c r="K164" s="5" t="s">
        <v>517</v>
      </c>
      <c r="N164" t="s">
        <v>1378</v>
      </c>
      <c r="O164" t="s">
        <v>764</v>
      </c>
      <c r="P164" t="s">
        <v>764</v>
      </c>
      <c r="Q164" t="s">
        <v>764</v>
      </c>
    </row>
    <row r="165" spans="1:17" x14ac:dyDescent="0.25">
      <c r="A165" t="s">
        <v>1102</v>
      </c>
      <c r="G165" t="s">
        <v>1379</v>
      </c>
      <c r="H165" s="5" t="s">
        <v>1380</v>
      </c>
      <c r="I165" s="5" t="s">
        <v>1381</v>
      </c>
      <c r="J165" s="5">
        <v>659</v>
      </c>
      <c r="K165" s="5" t="s">
        <v>503</v>
      </c>
      <c r="N165" t="s">
        <v>1382</v>
      </c>
      <c r="O165" t="s">
        <v>1383</v>
      </c>
      <c r="P165" t="s">
        <v>1384</v>
      </c>
      <c r="Q165" t="s">
        <v>1385</v>
      </c>
    </row>
    <row r="166" spans="1:17" x14ac:dyDescent="0.25">
      <c r="A166" t="s">
        <v>1107</v>
      </c>
      <c r="G166" t="s">
        <v>1386</v>
      </c>
      <c r="H166" s="5" t="s">
        <v>1387</v>
      </c>
      <c r="I166" s="5" t="s">
        <v>1388</v>
      </c>
      <c r="J166" s="5">
        <v>662</v>
      </c>
      <c r="K166" s="5" t="s">
        <v>503</v>
      </c>
      <c r="N166" t="s">
        <v>1389</v>
      </c>
      <c r="O166" t="s">
        <v>1383</v>
      </c>
      <c r="P166" t="s">
        <v>1384</v>
      </c>
      <c r="Q166" t="s">
        <v>1390</v>
      </c>
    </row>
    <row r="167" spans="1:17" x14ac:dyDescent="0.25">
      <c r="A167" t="s">
        <v>1112</v>
      </c>
      <c r="G167" t="s">
        <v>1391</v>
      </c>
      <c r="H167" s="5" t="s">
        <v>1392</v>
      </c>
      <c r="I167" s="5" t="s">
        <v>1393</v>
      </c>
      <c r="J167" s="5">
        <v>670</v>
      </c>
      <c r="K167" s="5" t="s">
        <v>503</v>
      </c>
      <c r="N167" t="s">
        <v>1394</v>
      </c>
      <c r="O167" t="s">
        <v>1383</v>
      </c>
      <c r="P167" t="s">
        <v>1395</v>
      </c>
      <c r="Q167" t="s">
        <v>1396</v>
      </c>
    </row>
    <row r="168" spans="1:17" x14ac:dyDescent="0.25">
      <c r="A168" t="s">
        <v>1118</v>
      </c>
      <c r="G168" t="s">
        <v>1397</v>
      </c>
      <c r="H168" s="5" t="s">
        <v>1398</v>
      </c>
      <c r="I168" s="5" t="s">
        <v>1399</v>
      </c>
      <c r="J168" s="5">
        <v>882</v>
      </c>
      <c r="K168" s="5" t="s">
        <v>481</v>
      </c>
      <c r="N168" t="s">
        <v>1400</v>
      </c>
      <c r="O168" t="s">
        <v>1383</v>
      </c>
      <c r="P168" t="s">
        <v>1395</v>
      </c>
      <c r="Q168" t="s">
        <v>1401</v>
      </c>
    </row>
    <row r="169" spans="1:17" x14ac:dyDescent="0.25">
      <c r="A169" t="s">
        <v>1123</v>
      </c>
      <c r="G169" t="s">
        <v>1402</v>
      </c>
      <c r="H169" s="5" t="s">
        <v>1403</v>
      </c>
      <c r="I169" s="5" t="s">
        <v>1404</v>
      </c>
      <c r="J169" s="5">
        <v>674</v>
      </c>
      <c r="K169" s="5" t="s">
        <v>491</v>
      </c>
      <c r="N169" t="s">
        <v>1405</v>
      </c>
      <c r="O169" t="s">
        <v>1383</v>
      </c>
      <c r="P169" t="s">
        <v>1395</v>
      </c>
      <c r="Q169" t="s">
        <v>1406</v>
      </c>
    </row>
    <row r="170" spans="1:17" x14ac:dyDescent="0.25">
      <c r="A170" t="s">
        <v>1129</v>
      </c>
      <c r="G170" t="s">
        <v>1407</v>
      </c>
      <c r="H170" s="5" t="s">
        <v>1408</v>
      </c>
      <c r="I170" s="5" t="s">
        <v>1409</v>
      </c>
      <c r="J170" s="5">
        <v>678</v>
      </c>
      <c r="K170" s="5" t="s">
        <v>517</v>
      </c>
      <c r="N170" t="s">
        <v>1410</v>
      </c>
      <c r="O170" t="s">
        <v>1383</v>
      </c>
      <c r="P170" t="s">
        <v>1411</v>
      </c>
      <c r="Q170" t="s">
        <v>1412</v>
      </c>
    </row>
    <row r="171" spans="1:17" x14ac:dyDescent="0.25">
      <c r="A171" t="s">
        <v>1132</v>
      </c>
      <c r="G171" t="s">
        <v>1413</v>
      </c>
      <c r="H171" s="5" t="s">
        <v>1414</v>
      </c>
      <c r="I171" s="5" t="s">
        <v>1415</v>
      </c>
      <c r="J171" s="5">
        <v>682</v>
      </c>
      <c r="K171" s="5" t="s">
        <v>500</v>
      </c>
      <c r="N171" t="s">
        <v>1416</v>
      </c>
      <c r="O171" t="s">
        <v>1383</v>
      </c>
      <c r="P171" t="s">
        <v>1411</v>
      </c>
      <c r="Q171" t="s">
        <v>1417</v>
      </c>
    </row>
    <row r="172" spans="1:17" x14ac:dyDescent="0.25">
      <c r="A172" t="s">
        <v>1136</v>
      </c>
      <c r="G172" t="s">
        <v>1418</v>
      </c>
      <c r="H172" s="5" t="s">
        <v>1419</v>
      </c>
      <c r="I172" s="5" t="s">
        <v>1420</v>
      </c>
      <c r="J172" s="5">
        <v>686</v>
      </c>
      <c r="K172" s="5" t="s">
        <v>517</v>
      </c>
      <c r="N172" t="s">
        <v>1421</v>
      </c>
      <c r="O172" t="s">
        <v>1383</v>
      </c>
      <c r="P172" t="s">
        <v>1411</v>
      </c>
      <c r="Q172" t="s">
        <v>1422</v>
      </c>
    </row>
    <row r="173" spans="1:17" x14ac:dyDescent="0.25">
      <c r="A173" t="s">
        <v>1141</v>
      </c>
      <c r="G173" t="s">
        <v>1423</v>
      </c>
      <c r="H173" s="5" t="s">
        <v>1424</v>
      </c>
      <c r="I173" s="5" t="s">
        <v>1425</v>
      </c>
      <c r="J173" s="5">
        <v>688</v>
      </c>
      <c r="K173" s="5" t="s">
        <v>491</v>
      </c>
      <c r="N173" t="s">
        <v>1426</v>
      </c>
      <c r="O173" t="s">
        <v>776</v>
      </c>
      <c r="P173" t="s">
        <v>776</v>
      </c>
      <c r="Q173" t="s">
        <v>776</v>
      </c>
    </row>
    <row r="174" spans="1:17" x14ac:dyDescent="0.25">
      <c r="A174" t="s">
        <v>1147</v>
      </c>
      <c r="G174" t="s">
        <v>1427</v>
      </c>
      <c r="H174" s="5" t="s">
        <v>1428</v>
      </c>
      <c r="I174" s="5" t="s">
        <v>1429</v>
      </c>
      <c r="J174" s="5">
        <v>690</v>
      </c>
      <c r="K174" s="5" t="s">
        <v>517</v>
      </c>
      <c r="N174" t="s">
        <v>1430</v>
      </c>
      <c r="O174" t="s">
        <v>1431</v>
      </c>
      <c r="P174" t="s">
        <v>1432</v>
      </c>
      <c r="Q174" t="s">
        <v>1433</v>
      </c>
    </row>
    <row r="175" spans="1:17" x14ac:dyDescent="0.25">
      <c r="A175" t="s">
        <v>1152</v>
      </c>
      <c r="G175" t="s">
        <v>1434</v>
      </c>
      <c r="H175" s="5" t="s">
        <v>1435</v>
      </c>
      <c r="I175" s="5" t="s">
        <v>1436</v>
      </c>
      <c r="J175" s="5">
        <v>694</v>
      </c>
      <c r="K175" s="5" t="s">
        <v>517</v>
      </c>
      <c r="N175" t="s">
        <v>1437</v>
      </c>
      <c r="O175" t="s">
        <v>1431</v>
      </c>
      <c r="P175" t="s">
        <v>1432</v>
      </c>
      <c r="Q175" t="s">
        <v>1438</v>
      </c>
    </row>
    <row r="176" spans="1:17" x14ac:dyDescent="0.25">
      <c r="A176" t="s">
        <v>1157</v>
      </c>
      <c r="G176" t="s">
        <v>1439</v>
      </c>
      <c r="H176" s="5" t="s">
        <v>1440</v>
      </c>
      <c r="I176" s="5" t="s">
        <v>1441</v>
      </c>
      <c r="J176" s="5">
        <v>702</v>
      </c>
      <c r="K176" s="5" t="s">
        <v>557</v>
      </c>
      <c r="N176" t="s">
        <v>1442</v>
      </c>
      <c r="O176" t="s">
        <v>1431</v>
      </c>
      <c r="P176" t="s">
        <v>1432</v>
      </c>
      <c r="Q176" t="s">
        <v>1443</v>
      </c>
    </row>
    <row r="177" spans="1:17" x14ac:dyDescent="0.25">
      <c r="A177" t="s">
        <v>1162</v>
      </c>
      <c r="G177" t="s">
        <v>811</v>
      </c>
      <c r="H177" s="5" t="s">
        <v>1444</v>
      </c>
      <c r="I177" s="5" t="s">
        <v>810</v>
      </c>
      <c r="J177" s="5">
        <v>703</v>
      </c>
      <c r="K177" s="5" t="s">
        <v>491</v>
      </c>
      <c r="N177" t="s">
        <v>1445</v>
      </c>
      <c r="O177" t="s">
        <v>1431</v>
      </c>
      <c r="P177" t="s">
        <v>1446</v>
      </c>
      <c r="Q177" t="s">
        <v>1447</v>
      </c>
    </row>
    <row r="178" spans="1:17" x14ac:dyDescent="0.25">
      <c r="A178" t="s">
        <v>1167</v>
      </c>
      <c r="G178" t="s">
        <v>816</v>
      </c>
      <c r="H178" s="5" t="s">
        <v>1448</v>
      </c>
      <c r="I178" s="5" t="s">
        <v>815</v>
      </c>
      <c r="J178" s="5">
        <v>705</v>
      </c>
      <c r="K178" s="5" t="s">
        <v>491</v>
      </c>
      <c r="N178" t="s">
        <v>1449</v>
      </c>
      <c r="O178" t="s">
        <v>1431</v>
      </c>
      <c r="P178" t="s">
        <v>1446</v>
      </c>
      <c r="Q178" t="s">
        <v>1450</v>
      </c>
    </row>
    <row r="179" spans="1:17" x14ac:dyDescent="0.25">
      <c r="A179" t="s">
        <v>1171</v>
      </c>
      <c r="G179" t="s">
        <v>1451</v>
      </c>
      <c r="H179" s="5" t="s">
        <v>1452</v>
      </c>
      <c r="I179" s="5" t="s">
        <v>1453</v>
      </c>
      <c r="J179" s="5">
        <v>90</v>
      </c>
      <c r="K179" s="5" t="s">
        <v>481</v>
      </c>
      <c r="N179" t="s">
        <v>1454</v>
      </c>
      <c r="O179" t="s">
        <v>1431</v>
      </c>
      <c r="P179" t="s">
        <v>1446</v>
      </c>
      <c r="Q179" t="s">
        <v>1455</v>
      </c>
    </row>
    <row r="180" spans="1:17" x14ac:dyDescent="0.25">
      <c r="A180" t="s">
        <v>1176</v>
      </c>
      <c r="G180" t="s">
        <v>1456</v>
      </c>
      <c r="H180" s="5" t="s">
        <v>1457</v>
      </c>
      <c r="I180" s="5" t="s">
        <v>1458</v>
      </c>
      <c r="J180" s="5">
        <v>706</v>
      </c>
      <c r="K180" s="5" t="s">
        <v>517</v>
      </c>
      <c r="N180" t="s">
        <v>1459</v>
      </c>
      <c r="O180" t="s">
        <v>1431</v>
      </c>
      <c r="P180" t="s">
        <v>1460</v>
      </c>
      <c r="Q180" t="s">
        <v>1461</v>
      </c>
    </row>
    <row r="181" spans="1:17" x14ac:dyDescent="0.25">
      <c r="A181" t="s">
        <v>1181</v>
      </c>
      <c r="G181" t="s">
        <v>1462</v>
      </c>
      <c r="H181" s="5" t="s">
        <v>1463</v>
      </c>
      <c r="I181" s="5" t="s">
        <v>1464</v>
      </c>
      <c r="J181" s="5">
        <v>710</v>
      </c>
      <c r="K181" s="5" t="s">
        <v>517</v>
      </c>
      <c r="N181" t="s">
        <v>1465</v>
      </c>
      <c r="O181" t="s">
        <v>1431</v>
      </c>
      <c r="P181" t="s">
        <v>1460</v>
      </c>
      <c r="Q181" t="s">
        <v>1466</v>
      </c>
    </row>
    <row r="182" spans="1:17" x14ac:dyDescent="0.25">
      <c r="A182" t="s">
        <v>1187</v>
      </c>
      <c r="G182" t="s">
        <v>693</v>
      </c>
      <c r="H182" s="5" t="s">
        <v>1467</v>
      </c>
      <c r="I182" s="5" t="s">
        <v>692</v>
      </c>
      <c r="J182" s="5">
        <v>724</v>
      </c>
      <c r="K182" s="5" t="s">
        <v>491</v>
      </c>
      <c r="N182" t="s">
        <v>1468</v>
      </c>
      <c r="O182" t="s">
        <v>1431</v>
      </c>
      <c r="P182" t="s">
        <v>1460</v>
      </c>
      <c r="Q182" t="s">
        <v>1469</v>
      </c>
    </row>
    <row r="183" spans="1:17" x14ac:dyDescent="0.25">
      <c r="A183" t="s">
        <v>1192</v>
      </c>
      <c r="G183" t="s">
        <v>1470</v>
      </c>
      <c r="H183" s="5" t="s">
        <v>1471</v>
      </c>
      <c r="I183" s="5" t="s">
        <v>1472</v>
      </c>
      <c r="J183" s="5">
        <v>144</v>
      </c>
      <c r="K183" s="5" t="s">
        <v>481</v>
      </c>
      <c r="N183" t="s">
        <v>1473</v>
      </c>
      <c r="O183" t="s">
        <v>1431</v>
      </c>
      <c r="P183" t="s">
        <v>1460</v>
      </c>
      <c r="Q183" t="s">
        <v>1474</v>
      </c>
    </row>
    <row r="184" spans="1:17" x14ac:dyDescent="0.25">
      <c r="A184" t="s">
        <v>1198</v>
      </c>
      <c r="G184" t="s">
        <v>1475</v>
      </c>
      <c r="H184" s="5" t="s">
        <v>1476</v>
      </c>
      <c r="I184" s="5" t="s">
        <v>1477</v>
      </c>
      <c r="J184" s="5">
        <v>729</v>
      </c>
      <c r="K184" s="5" t="s">
        <v>517</v>
      </c>
      <c r="N184" t="s">
        <v>1478</v>
      </c>
      <c r="O184" t="s">
        <v>1431</v>
      </c>
      <c r="P184" t="s">
        <v>1479</v>
      </c>
      <c r="Q184" t="s">
        <v>1480</v>
      </c>
    </row>
    <row r="185" spans="1:17" x14ac:dyDescent="0.25">
      <c r="A185" t="s">
        <v>1203</v>
      </c>
      <c r="G185" s="29" t="s">
        <v>1481</v>
      </c>
      <c r="H185" s="30" t="s">
        <v>1482</v>
      </c>
      <c r="I185" s="30" t="s">
        <v>1483</v>
      </c>
      <c r="J185" s="30">
        <v>728</v>
      </c>
      <c r="K185" s="30" t="s">
        <v>517</v>
      </c>
      <c r="N185" t="s">
        <v>1484</v>
      </c>
      <c r="O185" t="s">
        <v>1431</v>
      </c>
      <c r="P185" t="s">
        <v>1479</v>
      </c>
      <c r="Q185" t="s">
        <v>1485</v>
      </c>
    </row>
    <row r="186" spans="1:17" x14ac:dyDescent="0.25">
      <c r="A186" t="s">
        <v>1208</v>
      </c>
      <c r="G186" t="s">
        <v>1486</v>
      </c>
      <c r="H186" s="5" t="s">
        <v>1487</v>
      </c>
      <c r="I186" s="5" t="s">
        <v>1488</v>
      </c>
      <c r="J186" s="5">
        <v>740</v>
      </c>
      <c r="K186" s="5" t="s">
        <v>503</v>
      </c>
      <c r="N186" t="s">
        <v>1489</v>
      </c>
      <c r="O186" t="s">
        <v>1490</v>
      </c>
      <c r="P186" t="s">
        <v>1491</v>
      </c>
      <c r="Q186" t="s">
        <v>1492</v>
      </c>
    </row>
    <row r="187" spans="1:17" x14ac:dyDescent="0.25">
      <c r="A187" t="s">
        <v>1213</v>
      </c>
      <c r="G187" t="s">
        <v>1493</v>
      </c>
      <c r="H187" s="5" t="s">
        <v>1494</v>
      </c>
      <c r="I187" s="5" t="s">
        <v>1495</v>
      </c>
      <c r="J187" s="5">
        <v>748</v>
      </c>
      <c r="K187" s="5" t="s">
        <v>517</v>
      </c>
      <c r="N187" t="s">
        <v>1496</v>
      </c>
      <c r="O187" t="s">
        <v>1490</v>
      </c>
      <c r="P187" t="s">
        <v>1491</v>
      </c>
      <c r="Q187" t="s">
        <v>1497</v>
      </c>
    </row>
    <row r="188" spans="1:17" x14ac:dyDescent="0.25">
      <c r="A188" t="s">
        <v>1218</v>
      </c>
      <c r="G188" t="s">
        <v>823</v>
      </c>
      <c r="H188" s="5" t="s">
        <v>1498</v>
      </c>
      <c r="I188" s="5" t="s">
        <v>822</v>
      </c>
      <c r="J188" s="5">
        <v>752</v>
      </c>
      <c r="K188" s="5" t="s">
        <v>491</v>
      </c>
      <c r="N188" t="s">
        <v>1499</v>
      </c>
      <c r="O188" t="s">
        <v>1490</v>
      </c>
      <c r="P188" t="s">
        <v>1491</v>
      </c>
      <c r="Q188" t="s">
        <v>1500</v>
      </c>
    </row>
    <row r="189" spans="1:17" x14ac:dyDescent="0.25">
      <c r="A189" t="s">
        <v>1223</v>
      </c>
      <c r="G189" t="s">
        <v>1501</v>
      </c>
      <c r="H189" s="5" t="s">
        <v>1502</v>
      </c>
      <c r="I189" s="5" t="s">
        <v>1503</v>
      </c>
      <c r="J189" s="5">
        <v>756</v>
      </c>
      <c r="K189" s="5" t="s">
        <v>491</v>
      </c>
      <c r="N189" t="s">
        <v>1504</v>
      </c>
      <c r="O189" t="s">
        <v>1490</v>
      </c>
      <c r="P189" t="s">
        <v>1505</v>
      </c>
      <c r="Q189" t="s">
        <v>1506</v>
      </c>
    </row>
    <row r="190" spans="1:17" x14ac:dyDescent="0.25">
      <c r="A190" t="s">
        <v>1228</v>
      </c>
      <c r="G190" t="s">
        <v>1507</v>
      </c>
      <c r="H190" s="5" t="s">
        <v>1508</v>
      </c>
      <c r="I190" s="5" t="s">
        <v>1509</v>
      </c>
      <c r="J190" s="5">
        <v>760</v>
      </c>
      <c r="K190" s="5" t="s">
        <v>500</v>
      </c>
      <c r="N190" t="s">
        <v>1510</v>
      </c>
      <c r="O190" t="s">
        <v>1490</v>
      </c>
      <c r="P190" t="s">
        <v>1505</v>
      </c>
      <c r="Q190" t="s">
        <v>1511</v>
      </c>
    </row>
    <row r="191" spans="1:17" x14ac:dyDescent="0.25">
      <c r="A191" t="s">
        <v>1233</v>
      </c>
      <c r="G191" t="s">
        <v>1512</v>
      </c>
      <c r="H191" s="5" t="s">
        <v>1513</v>
      </c>
      <c r="I191" s="5" t="s">
        <v>1514</v>
      </c>
      <c r="J191" s="5">
        <v>762</v>
      </c>
      <c r="K191" s="5" t="s">
        <v>511</v>
      </c>
      <c r="N191" t="s">
        <v>1515</v>
      </c>
      <c r="O191" t="s">
        <v>1490</v>
      </c>
      <c r="P191" t="s">
        <v>1516</v>
      </c>
      <c r="Q191" t="s">
        <v>1517</v>
      </c>
    </row>
    <row r="192" spans="1:17" x14ac:dyDescent="0.25">
      <c r="A192" t="s">
        <v>1237</v>
      </c>
      <c r="G192" t="s">
        <v>1518</v>
      </c>
      <c r="H192" s="5" t="s">
        <v>1519</v>
      </c>
      <c r="I192" s="5" t="s">
        <v>1520</v>
      </c>
      <c r="J192" s="5">
        <v>764</v>
      </c>
      <c r="K192" s="5" t="s">
        <v>557</v>
      </c>
      <c r="N192" t="s">
        <v>1521</v>
      </c>
      <c r="O192" t="s">
        <v>1490</v>
      </c>
      <c r="P192" t="s">
        <v>1516</v>
      </c>
      <c r="Q192" t="s">
        <v>1522</v>
      </c>
    </row>
    <row r="193" spans="1:17" x14ac:dyDescent="0.25">
      <c r="A193" t="s">
        <v>1243</v>
      </c>
      <c r="G193" t="s">
        <v>1523</v>
      </c>
      <c r="H193" s="5" t="s">
        <v>1524</v>
      </c>
      <c r="I193" s="5" t="s">
        <v>1525</v>
      </c>
      <c r="J193" s="5">
        <v>807</v>
      </c>
      <c r="K193" s="5" t="s">
        <v>491</v>
      </c>
      <c r="N193" t="s">
        <v>1526</v>
      </c>
      <c r="O193" t="s">
        <v>1490</v>
      </c>
      <c r="P193" t="s">
        <v>1516</v>
      </c>
      <c r="Q193" t="s">
        <v>1527</v>
      </c>
    </row>
    <row r="194" spans="1:17" x14ac:dyDescent="0.25">
      <c r="A194" t="s">
        <v>1248</v>
      </c>
      <c r="G194" t="s">
        <v>1528</v>
      </c>
      <c r="H194" s="5" t="s">
        <v>1529</v>
      </c>
      <c r="I194" s="5" t="s">
        <v>1530</v>
      </c>
      <c r="J194" s="5">
        <v>626</v>
      </c>
      <c r="K194" s="5" t="s">
        <v>557</v>
      </c>
      <c r="N194" t="s">
        <v>1531</v>
      </c>
      <c r="O194" t="s">
        <v>1490</v>
      </c>
      <c r="P194" t="s">
        <v>1516</v>
      </c>
      <c r="Q194" t="s">
        <v>1532</v>
      </c>
    </row>
    <row r="195" spans="1:17" x14ac:dyDescent="0.25">
      <c r="A195" t="s">
        <v>1251</v>
      </c>
      <c r="G195" t="s">
        <v>1533</v>
      </c>
      <c r="H195" s="5" t="s">
        <v>1534</v>
      </c>
      <c r="I195" s="5" t="s">
        <v>1535</v>
      </c>
      <c r="J195" s="5">
        <v>768</v>
      </c>
      <c r="K195" s="5" t="s">
        <v>517</v>
      </c>
      <c r="N195" t="s">
        <v>1536</v>
      </c>
      <c r="O195" t="s">
        <v>1537</v>
      </c>
      <c r="P195" t="s">
        <v>1538</v>
      </c>
      <c r="Q195" t="s">
        <v>1539</v>
      </c>
    </row>
    <row r="196" spans="1:17" x14ac:dyDescent="0.25">
      <c r="A196" t="s">
        <v>1255</v>
      </c>
      <c r="G196" t="s">
        <v>1540</v>
      </c>
      <c r="H196" s="5" t="s">
        <v>1541</v>
      </c>
      <c r="I196" s="5" t="s">
        <v>1542</v>
      </c>
      <c r="J196" s="5">
        <v>772</v>
      </c>
      <c r="K196" s="5" t="s">
        <v>481</v>
      </c>
      <c r="N196" t="s">
        <v>1543</v>
      </c>
      <c r="O196" t="s">
        <v>1537</v>
      </c>
      <c r="P196" t="s">
        <v>1538</v>
      </c>
      <c r="Q196" t="s">
        <v>1544</v>
      </c>
    </row>
    <row r="197" spans="1:17" x14ac:dyDescent="0.25">
      <c r="A197" t="s">
        <v>1262</v>
      </c>
      <c r="G197" t="s">
        <v>1545</v>
      </c>
      <c r="H197" s="5" t="s">
        <v>1546</v>
      </c>
      <c r="I197" s="5" t="s">
        <v>1547</v>
      </c>
      <c r="J197" s="5">
        <v>776</v>
      </c>
      <c r="K197" s="5" t="s">
        <v>481</v>
      </c>
      <c r="N197" t="s">
        <v>1548</v>
      </c>
      <c r="O197" t="s">
        <v>1537</v>
      </c>
      <c r="P197" t="s">
        <v>1549</v>
      </c>
      <c r="Q197" t="s">
        <v>1550</v>
      </c>
    </row>
    <row r="198" spans="1:17" x14ac:dyDescent="0.25">
      <c r="A198" t="s">
        <v>1267</v>
      </c>
      <c r="G198" t="s">
        <v>1551</v>
      </c>
      <c r="H198" s="5" t="s">
        <v>1552</v>
      </c>
      <c r="I198" s="5" t="s">
        <v>1553</v>
      </c>
      <c r="J198" s="5">
        <v>780</v>
      </c>
      <c r="K198" s="5" t="s">
        <v>503</v>
      </c>
      <c r="N198" t="s">
        <v>1554</v>
      </c>
      <c r="O198" t="s">
        <v>1537</v>
      </c>
      <c r="P198" t="s">
        <v>1549</v>
      </c>
      <c r="Q198" t="s">
        <v>1555</v>
      </c>
    </row>
    <row r="199" spans="1:17" x14ac:dyDescent="0.25">
      <c r="A199" t="s">
        <v>1272</v>
      </c>
      <c r="G199" t="s">
        <v>1556</v>
      </c>
      <c r="H199" s="5" t="s">
        <v>1557</v>
      </c>
      <c r="I199" s="5" t="s">
        <v>1558</v>
      </c>
      <c r="J199" s="5">
        <v>788</v>
      </c>
      <c r="K199" s="5" t="s">
        <v>500</v>
      </c>
      <c r="N199" t="s">
        <v>1559</v>
      </c>
      <c r="O199" t="s">
        <v>1537</v>
      </c>
      <c r="P199" t="s">
        <v>1549</v>
      </c>
      <c r="Q199" t="s">
        <v>1560</v>
      </c>
    </row>
    <row r="200" spans="1:17" x14ac:dyDescent="0.25">
      <c r="A200" t="s">
        <v>1277</v>
      </c>
      <c r="G200" t="s">
        <v>1561</v>
      </c>
      <c r="H200" s="5" t="s">
        <v>1562</v>
      </c>
      <c r="I200" s="5" t="s">
        <v>1563</v>
      </c>
      <c r="J200" s="5">
        <v>792</v>
      </c>
      <c r="K200" s="5" t="s">
        <v>500</v>
      </c>
      <c r="N200" t="s">
        <v>1564</v>
      </c>
      <c r="O200" t="s">
        <v>1537</v>
      </c>
      <c r="P200" t="s">
        <v>1565</v>
      </c>
      <c r="Q200" t="s">
        <v>1566</v>
      </c>
    </row>
    <row r="201" spans="1:17" x14ac:dyDescent="0.25">
      <c r="A201" t="s">
        <v>1283</v>
      </c>
      <c r="G201" t="s">
        <v>1567</v>
      </c>
      <c r="H201" s="5" t="s">
        <v>1568</v>
      </c>
      <c r="I201" s="5" t="s">
        <v>1569</v>
      </c>
      <c r="J201" s="5">
        <v>795</v>
      </c>
      <c r="K201" s="5" t="s">
        <v>511</v>
      </c>
      <c r="N201" t="s">
        <v>1570</v>
      </c>
      <c r="O201" t="s">
        <v>1537</v>
      </c>
      <c r="P201" t="s">
        <v>1565</v>
      </c>
      <c r="Q201" t="s">
        <v>1571</v>
      </c>
    </row>
    <row r="202" spans="1:17" x14ac:dyDescent="0.25">
      <c r="A202" t="s">
        <v>1288</v>
      </c>
      <c r="G202" t="s">
        <v>1572</v>
      </c>
      <c r="H202" s="5" t="s">
        <v>1573</v>
      </c>
      <c r="I202" s="5" t="s">
        <v>1574</v>
      </c>
      <c r="J202" s="5">
        <v>796</v>
      </c>
      <c r="K202" s="5" t="s">
        <v>503</v>
      </c>
      <c r="N202" t="s">
        <v>1575</v>
      </c>
      <c r="O202" t="s">
        <v>1537</v>
      </c>
      <c r="P202" t="s">
        <v>1576</v>
      </c>
      <c r="Q202" t="s">
        <v>1577</v>
      </c>
    </row>
    <row r="203" spans="1:17" x14ac:dyDescent="0.25">
      <c r="A203" t="s">
        <v>1291</v>
      </c>
      <c r="G203" t="s">
        <v>1578</v>
      </c>
      <c r="H203" s="5" t="s">
        <v>1579</v>
      </c>
      <c r="I203" s="5" t="s">
        <v>1580</v>
      </c>
      <c r="J203" s="5">
        <v>798</v>
      </c>
      <c r="K203" s="5" t="s">
        <v>481</v>
      </c>
      <c r="N203" t="s">
        <v>1581</v>
      </c>
      <c r="O203" t="s">
        <v>1537</v>
      </c>
      <c r="P203" t="s">
        <v>1576</v>
      </c>
      <c r="Q203" t="s">
        <v>1582</v>
      </c>
    </row>
    <row r="204" spans="1:17" x14ac:dyDescent="0.25">
      <c r="A204" t="s">
        <v>1296</v>
      </c>
      <c r="G204" t="s">
        <v>1583</v>
      </c>
      <c r="H204" s="5" t="s">
        <v>1584</v>
      </c>
      <c r="I204" s="5" t="s">
        <v>1585</v>
      </c>
      <c r="J204" s="5">
        <v>800</v>
      </c>
      <c r="K204" s="5" t="s">
        <v>517</v>
      </c>
      <c r="N204" t="s">
        <v>1586</v>
      </c>
      <c r="O204" t="s">
        <v>1537</v>
      </c>
      <c r="P204" t="s">
        <v>1576</v>
      </c>
      <c r="Q204" t="s">
        <v>1587</v>
      </c>
    </row>
    <row r="205" spans="1:17" x14ac:dyDescent="0.25">
      <c r="A205" t="s">
        <v>1301</v>
      </c>
      <c r="G205" t="s">
        <v>1588</v>
      </c>
      <c r="H205" s="5" t="s">
        <v>1589</v>
      </c>
      <c r="I205" s="5" t="s">
        <v>1590</v>
      </c>
      <c r="J205" s="5">
        <v>804</v>
      </c>
      <c r="K205" s="5" t="s">
        <v>511</v>
      </c>
      <c r="N205" t="s">
        <v>1591</v>
      </c>
      <c r="O205" t="s">
        <v>1537</v>
      </c>
      <c r="P205" t="s">
        <v>1592</v>
      </c>
      <c r="Q205" t="s">
        <v>1593</v>
      </c>
    </row>
    <row r="206" spans="1:17" x14ac:dyDescent="0.25">
      <c r="A206" t="s">
        <v>1306</v>
      </c>
      <c r="G206" t="s">
        <v>1594</v>
      </c>
      <c r="H206" s="5" t="s">
        <v>1595</v>
      </c>
      <c r="I206" s="5" t="s">
        <v>1596</v>
      </c>
      <c r="J206" s="5">
        <v>784</v>
      </c>
      <c r="K206" s="5" t="s">
        <v>500</v>
      </c>
      <c r="N206" t="s">
        <v>1597</v>
      </c>
      <c r="O206" t="s">
        <v>1537</v>
      </c>
      <c r="P206" t="s">
        <v>1592</v>
      </c>
      <c r="Q206" t="s">
        <v>1598</v>
      </c>
    </row>
    <row r="207" spans="1:17" x14ac:dyDescent="0.25">
      <c r="A207" t="s">
        <v>1312</v>
      </c>
      <c r="G207" t="s">
        <v>1599</v>
      </c>
      <c r="H207" s="5" t="s">
        <v>1600</v>
      </c>
      <c r="I207" s="5" t="s">
        <v>840</v>
      </c>
      <c r="J207" s="5">
        <v>826</v>
      </c>
      <c r="K207" s="5" t="s">
        <v>491</v>
      </c>
      <c r="N207" t="s">
        <v>1601</v>
      </c>
      <c r="O207" t="s">
        <v>1537</v>
      </c>
      <c r="P207" t="s">
        <v>1602</v>
      </c>
      <c r="Q207" t="s">
        <v>1603</v>
      </c>
    </row>
    <row r="208" spans="1:17" x14ac:dyDescent="0.25">
      <c r="A208" t="s">
        <v>1317</v>
      </c>
      <c r="G208" t="s">
        <v>1604</v>
      </c>
      <c r="H208" s="5" t="s">
        <v>1605</v>
      </c>
      <c r="I208" s="5" t="s">
        <v>1606</v>
      </c>
      <c r="J208" s="5">
        <v>834</v>
      </c>
      <c r="K208" s="5" t="s">
        <v>517</v>
      </c>
      <c r="N208" t="s">
        <v>1607</v>
      </c>
      <c r="O208" t="s">
        <v>1537</v>
      </c>
      <c r="P208" t="s">
        <v>1602</v>
      </c>
      <c r="Q208" t="s">
        <v>1608</v>
      </c>
    </row>
    <row r="209" spans="1:17" x14ac:dyDescent="0.25">
      <c r="A209" t="s">
        <v>1323</v>
      </c>
      <c r="G209" t="s">
        <v>1609</v>
      </c>
      <c r="H209" s="5" t="s">
        <v>1610</v>
      </c>
      <c r="I209" s="5" t="s">
        <v>486</v>
      </c>
      <c r="J209" s="5">
        <v>840</v>
      </c>
      <c r="K209" s="5" t="s">
        <v>486</v>
      </c>
      <c r="N209" t="s">
        <v>1611</v>
      </c>
      <c r="O209" t="s">
        <v>1537</v>
      </c>
      <c r="P209" t="s">
        <v>1602</v>
      </c>
      <c r="Q209" t="s">
        <v>1612</v>
      </c>
    </row>
    <row r="210" spans="1:17" x14ac:dyDescent="0.25">
      <c r="A210" t="s">
        <v>1328</v>
      </c>
      <c r="G210" t="s">
        <v>1613</v>
      </c>
      <c r="H210" s="5" t="s">
        <v>1614</v>
      </c>
      <c r="I210" s="5" t="s">
        <v>1615</v>
      </c>
      <c r="J210" s="5">
        <v>858</v>
      </c>
      <c r="K210" s="5" t="s">
        <v>503</v>
      </c>
      <c r="N210" t="s">
        <v>1616</v>
      </c>
      <c r="O210" t="s">
        <v>1537</v>
      </c>
      <c r="P210" t="s">
        <v>1617</v>
      </c>
      <c r="Q210" t="s">
        <v>1618</v>
      </c>
    </row>
    <row r="211" spans="1:17" x14ac:dyDescent="0.25">
      <c r="A211" t="s">
        <v>1333</v>
      </c>
      <c r="G211" t="s">
        <v>1619</v>
      </c>
      <c r="H211" s="5" t="s">
        <v>1620</v>
      </c>
      <c r="I211" s="5" t="s">
        <v>1621</v>
      </c>
      <c r="J211" s="5">
        <v>860</v>
      </c>
      <c r="K211" s="5" t="s">
        <v>511</v>
      </c>
      <c r="N211" t="s">
        <v>1622</v>
      </c>
      <c r="O211" t="s">
        <v>1537</v>
      </c>
      <c r="P211" t="s">
        <v>1617</v>
      </c>
      <c r="Q211" t="s">
        <v>1623</v>
      </c>
    </row>
    <row r="212" spans="1:17" x14ac:dyDescent="0.25">
      <c r="A212" t="s">
        <v>1338</v>
      </c>
      <c r="G212" t="s">
        <v>1624</v>
      </c>
      <c r="H212" s="5" t="s">
        <v>1625</v>
      </c>
      <c r="I212" s="5" t="s">
        <v>1626</v>
      </c>
      <c r="J212" s="5">
        <v>548</v>
      </c>
      <c r="K212" s="5" t="s">
        <v>481</v>
      </c>
      <c r="N212" t="s">
        <v>1627</v>
      </c>
      <c r="O212" t="s">
        <v>796</v>
      </c>
      <c r="P212" t="s">
        <v>1628</v>
      </c>
      <c r="Q212" t="s">
        <v>1629</v>
      </c>
    </row>
    <row r="213" spans="1:17" x14ac:dyDescent="0.25">
      <c r="A213" t="s">
        <v>1341</v>
      </c>
      <c r="G213" t="s">
        <v>1630</v>
      </c>
      <c r="H213" s="5" t="s">
        <v>1631</v>
      </c>
      <c r="I213" s="5" t="s">
        <v>1632</v>
      </c>
      <c r="J213" s="5">
        <v>862</v>
      </c>
      <c r="K213" s="5" t="s">
        <v>503</v>
      </c>
      <c r="N213" t="s">
        <v>1633</v>
      </c>
      <c r="O213" t="s">
        <v>796</v>
      </c>
      <c r="P213" t="s">
        <v>1628</v>
      </c>
      <c r="Q213" t="s">
        <v>1634</v>
      </c>
    </row>
    <row r="214" spans="1:17" x14ac:dyDescent="0.25">
      <c r="A214" t="s">
        <v>1345</v>
      </c>
      <c r="G214" t="s">
        <v>1635</v>
      </c>
      <c r="H214" s="5" t="s">
        <v>1636</v>
      </c>
      <c r="I214" s="5" t="s">
        <v>1637</v>
      </c>
      <c r="J214" s="5">
        <v>704</v>
      </c>
      <c r="K214" s="5" t="s">
        <v>557</v>
      </c>
      <c r="N214" t="s">
        <v>1638</v>
      </c>
      <c r="O214" t="s">
        <v>796</v>
      </c>
      <c r="P214" t="s">
        <v>1628</v>
      </c>
      <c r="Q214" t="s">
        <v>1639</v>
      </c>
    </row>
    <row r="215" spans="1:17" x14ac:dyDescent="0.25">
      <c r="A215" t="s">
        <v>1350</v>
      </c>
      <c r="G215" t="s">
        <v>1640</v>
      </c>
      <c r="H215" s="5" t="s">
        <v>1641</v>
      </c>
      <c r="I215" s="5" t="s">
        <v>1642</v>
      </c>
      <c r="J215" s="5">
        <v>887</v>
      </c>
      <c r="K215" s="5" t="s">
        <v>500</v>
      </c>
      <c r="N215" t="s">
        <v>1643</v>
      </c>
      <c r="O215" t="s">
        <v>796</v>
      </c>
      <c r="P215" t="s">
        <v>1628</v>
      </c>
      <c r="Q215" t="s">
        <v>1644</v>
      </c>
    </row>
    <row r="216" spans="1:17" x14ac:dyDescent="0.25">
      <c r="A216" t="s">
        <v>1355</v>
      </c>
      <c r="G216" t="s">
        <v>1645</v>
      </c>
      <c r="H216" s="5" t="s">
        <v>1646</v>
      </c>
      <c r="I216" s="5" t="s">
        <v>1647</v>
      </c>
      <c r="J216" s="5">
        <v>894</v>
      </c>
      <c r="K216" s="5" t="s">
        <v>517</v>
      </c>
      <c r="N216" t="s">
        <v>1648</v>
      </c>
      <c r="O216" t="s">
        <v>796</v>
      </c>
      <c r="P216" t="s">
        <v>1628</v>
      </c>
      <c r="Q216" t="s">
        <v>1649</v>
      </c>
    </row>
    <row r="217" spans="1:17" x14ac:dyDescent="0.25">
      <c r="A217" t="s">
        <v>1360</v>
      </c>
      <c r="G217" t="s">
        <v>1650</v>
      </c>
      <c r="H217" s="5" t="s">
        <v>1651</v>
      </c>
      <c r="I217" s="5" t="s">
        <v>1652</v>
      </c>
      <c r="J217" s="5">
        <v>716</v>
      </c>
      <c r="K217" s="5" t="s">
        <v>517</v>
      </c>
      <c r="N217" t="s">
        <v>1653</v>
      </c>
      <c r="O217" t="s">
        <v>796</v>
      </c>
      <c r="P217" t="s">
        <v>1654</v>
      </c>
      <c r="Q217" t="s">
        <v>1654</v>
      </c>
    </row>
    <row r="218" spans="1:17" x14ac:dyDescent="0.25">
      <c r="A218" t="s">
        <v>1364</v>
      </c>
      <c r="G218" t="s">
        <v>1655</v>
      </c>
      <c r="H218" s="5" t="s">
        <v>1656</v>
      </c>
      <c r="I218" s="5" t="s">
        <v>1657</v>
      </c>
      <c r="J218" s="5">
        <v>254</v>
      </c>
      <c r="K218" s="5" t="s">
        <v>503</v>
      </c>
      <c r="N218" t="s">
        <v>1658</v>
      </c>
      <c r="O218" t="s">
        <v>796</v>
      </c>
      <c r="P218" t="s">
        <v>1659</v>
      </c>
      <c r="Q218" t="s">
        <v>1659</v>
      </c>
    </row>
    <row r="219" spans="1:17" x14ac:dyDescent="0.25">
      <c r="A219" t="s">
        <v>1367</v>
      </c>
      <c r="G219" t="s">
        <v>1660</v>
      </c>
      <c r="H219" s="5" t="s">
        <v>1661</v>
      </c>
      <c r="I219" s="5" t="s">
        <v>1662</v>
      </c>
      <c r="J219" s="5">
        <v>732</v>
      </c>
      <c r="K219" s="5" t="s">
        <v>500</v>
      </c>
      <c r="N219" t="s">
        <v>1663</v>
      </c>
      <c r="O219" t="s">
        <v>1664</v>
      </c>
      <c r="P219" t="s">
        <v>1665</v>
      </c>
      <c r="Q219" t="s">
        <v>1666</v>
      </c>
    </row>
    <row r="220" spans="1:17" x14ac:dyDescent="0.25">
      <c r="A220" t="s">
        <v>1373</v>
      </c>
      <c r="G220" t="s">
        <v>1667</v>
      </c>
      <c r="H220" s="5" t="s">
        <v>1668</v>
      </c>
      <c r="I220" s="5" t="s">
        <v>1669</v>
      </c>
      <c r="J220" s="5">
        <v>158</v>
      </c>
      <c r="K220" s="5" t="s">
        <v>557</v>
      </c>
      <c r="N220" t="s">
        <v>1670</v>
      </c>
      <c r="O220" t="s">
        <v>1664</v>
      </c>
      <c r="P220" t="s">
        <v>1665</v>
      </c>
      <c r="Q220" t="s">
        <v>1671</v>
      </c>
    </row>
    <row r="221" spans="1:17" x14ac:dyDescent="0.25">
      <c r="A221" t="s">
        <v>1378</v>
      </c>
      <c r="G221" t="s">
        <v>1672</v>
      </c>
      <c r="H221" s="5" t="s">
        <v>1673</v>
      </c>
      <c r="I221" s="5" t="s">
        <v>1674</v>
      </c>
      <c r="J221" s="5">
        <v>304</v>
      </c>
      <c r="K221" s="5" t="s">
        <v>491</v>
      </c>
      <c r="N221" t="s">
        <v>1675</v>
      </c>
      <c r="O221" t="s">
        <v>1664</v>
      </c>
      <c r="P221" t="s">
        <v>1676</v>
      </c>
      <c r="Q221" t="s">
        <v>1318</v>
      </c>
    </row>
    <row r="222" spans="1:17" x14ac:dyDescent="0.25">
      <c r="A222" t="s">
        <v>1382</v>
      </c>
      <c r="G222" t="s">
        <v>1677</v>
      </c>
      <c r="H222" s="5" t="s">
        <v>1678</v>
      </c>
      <c r="I222" s="5" t="s">
        <v>1679</v>
      </c>
      <c r="J222" s="5">
        <v>744</v>
      </c>
      <c r="K222" s="5" t="s">
        <v>491</v>
      </c>
      <c r="N222" t="s">
        <v>1680</v>
      </c>
      <c r="O222" t="s">
        <v>1664</v>
      </c>
      <c r="P222" t="s">
        <v>1676</v>
      </c>
      <c r="Q222" t="s">
        <v>1681</v>
      </c>
    </row>
    <row r="223" spans="1:17" x14ac:dyDescent="0.25">
      <c r="A223" t="s">
        <v>1389</v>
      </c>
      <c r="G223" t="s">
        <v>1682</v>
      </c>
      <c r="H223" s="5" t="s">
        <v>1683</v>
      </c>
      <c r="I223" s="5" t="s">
        <v>1684</v>
      </c>
      <c r="J223" s="5">
        <v>630</v>
      </c>
      <c r="K223" s="5" t="s">
        <v>503</v>
      </c>
      <c r="N223" t="s">
        <v>1685</v>
      </c>
      <c r="O223" t="s">
        <v>1664</v>
      </c>
      <c r="P223" t="s">
        <v>1686</v>
      </c>
      <c r="Q223" t="s">
        <v>1687</v>
      </c>
    </row>
    <row r="224" spans="1:17" x14ac:dyDescent="0.25">
      <c r="A224" t="s">
        <v>1394</v>
      </c>
      <c r="G224" t="s">
        <v>1688</v>
      </c>
      <c r="H224" s="5" t="s">
        <v>1689</v>
      </c>
      <c r="I224" s="5" t="s">
        <v>1690</v>
      </c>
      <c r="J224" s="5">
        <v>833</v>
      </c>
      <c r="K224" s="5" t="s">
        <v>491</v>
      </c>
      <c r="N224" t="s">
        <v>1691</v>
      </c>
      <c r="O224" t="s">
        <v>1664</v>
      </c>
      <c r="P224" t="s">
        <v>1686</v>
      </c>
      <c r="Q224" t="s">
        <v>1692</v>
      </c>
    </row>
    <row r="225" spans="1:17" x14ac:dyDescent="0.25">
      <c r="A225" t="s">
        <v>1400</v>
      </c>
      <c r="G225" t="s">
        <v>1693</v>
      </c>
      <c r="H225" s="5" t="s">
        <v>1694</v>
      </c>
      <c r="I225" s="5" t="s">
        <v>1695</v>
      </c>
      <c r="J225" s="5">
        <v>832</v>
      </c>
      <c r="K225" s="5" t="s">
        <v>491</v>
      </c>
      <c r="N225" t="s">
        <v>1696</v>
      </c>
      <c r="O225" t="s">
        <v>1664</v>
      </c>
      <c r="P225" t="s">
        <v>1697</v>
      </c>
      <c r="Q225" t="s">
        <v>1698</v>
      </c>
    </row>
    <row r="226" spans="1:17" x14ac:dyDescent="0.25">
      <c r="A226" t="s">
        <v>1405</v>
      </c>
      <c r="G226" t="s">
        <v>1699</v>
      </c>
      <c r="H226" s="5" t="s">
        <v>1700</v>
      </c>
      <c r="I226" s="5" t="s">
        <v>1701</v>
      </c>
      <c r="J226" s="5">
        <v>831</v>
      </c>
      <c r="K226" s="5" t="s">
        <v>491</v>
      </c>
      <c r="N226" t="s">
        <v>1702</v>
      </c>
      <c r="O226" t="s">
        <v>1664</v>
      </c>
      <c r="P226" t="s">
        <v>1697</v>
      </c>
      <c r="Q226" t="s">
        <v>1703</v>
      </c>
    </row>
    <row r="227" spans="1:17" x14ac:dyDescent="0.25">
      <c r="A227" t="s">
        <v>1410</v>
      </c>
      <c r="G227" t="s">
        <v>1704</v>
      </c>
      <c r="H227" s="5" t="s">
        <v>1705</v>
      </c>
      <c r="I227" s="5" t="s">
        <v>1706</v>
      </c>
      <c r="J227" s="5">
        <v>850</v>
      </c>
      <c r="K227" s="5" t="s">
        <v>503</v>
      </c>
      <c r="N227" t="s">
        <v>1707</v>
      </c>
      <c r="O227" t="s">
        <v>1708</v>
      </c>
      <c r="P227" t="s">
        <v>1708</v>
      </c>
      <c r="Q227" t="s">
        <v>1709</v>
      </c>
    </row>
    <row r="228" spans="1:17" x14ac:dyDescent="0.25">
      <c r="A228" t="s">
        <v>1416</v>
      </c>
      <c r="N228" t="s">
        <v>1710</v>
      </c>
      <c r="O228" t="s">
        <v>1708</v>
      </c>
      <c r="P228" t="s">
        <v>1708</v>
      </c>
      <c r="Q228" t="s">
        <v>1711</v>
      </c>
    </row>
    <row r="229" spans="1:17" x14ac:dyDescent="0.25">
      <c r="A229" t="s">
        <v>1421</v>
      </c>
      <c r="N229" t="s">
        <v>1712</v>
      </c>
      <c r="O229" t="s">
        <v>1713</v>
      </c>
      <c r="P229" t="s">
        <v>1713</v>
      </c>
      <c r="Q229" t="s">
        <v>1714</v>
      </c>
    </row>
    <row r="230" spans="1:17" x14ac:dyDescent="0.25">
      <c r="A230" t="s">
        <v>1426</v>
      </c>
      <c r="N230" t="s">
        <v>1715</v>
      </c>
      <c r="O230" t="s">
        <v>1713</v>
      </c>
      <c r="P230" t="s">
        <v>1713</v>
      </c>
      <c r="Q230" t="s">
        <v>1716</v>
      </c>
    </row>
    <row r="231" spans="1:17" x14ac:dyDescent="0.25">
      <c r="A231" t="s">
        <v>1430</v>
      </c>
      <c r="N231" t="s">
        <v>1717</v>
      </c>
      <c r="O231" t="s">
        <v>1713</v>
      </c>
      <c r="P231" t="s">
        <v>1713</v>
      </c>
      <c r="Q231" t="s">
        <v>1718</v>
      </c>
    </row>
    <row r="232" spans="1:17" x14ac:dyDescent="0.25">
      <c r="A232" t="s">
        <v>1437</v>
      </c>
      <c r="N232" t="s">
        <v>1719</v>
      </c>
      <c r="O232" t="s">
        <v>1713</v>
      </c>
      <c r="P232" t="s">
        <v>1713</v>
      </c>
      <c r="Q232" t="s">
        <v>1720</v>
      </c>
    </row>
    <row r="233" spans="1:17" x14ac:dyDescent="0.25">
      <c r="A233" t="s">
        <v>1442</v>
      </c>
      <c r="N233" t="s">
        <v>1721</v>
      </c>
      <c r="O233" t="s">
        <v>1722</v>
      </c>
      <c r="P233" t="s">
        <v>1723</v>
      </c>
      <c r="Q233" t="s">
        <v>1724</v>
      </c>
    </row>
    <row r="234" spans="1:17" x14ac:dyDescent="0.25">
      <c r="A234" t="s">
        <v>1445</v>
      </c>
      <c r="N234" t="s">
        <v>1725</v>
      </c>
      <c r="O234" t="s">
        <v>1722</v>
      </c>
      <c r="P234" t="s">
        <v>1723</v>
      </c>
      <c r="Q234" t="s">
        <v>1726</v>
      </c>
    </row>
    <row r="235" spans="1:17" x14ac:dyDescent="0.25">
      <c r="A235" t="s">
        <v>1449</v>
      </c>
      <c r="N235" t="s">
        <v>1727</v>
      </c>
      <c r="O235" t="s">
        <v>1722</v>
      </c>
      <c r="P235" t="s">
        <v>1723</v>
      </c>
      <c r="Q235" t="s">
        <v>1728</v>
      </c>
    </row>
    <row r="236" spans="1:17" x14ac:dyDescent="0.25">
      <c r="A236" t="s">
        <v>1454</v>
      </c>
      <c r="N236" t="s">
        <v>1729</v>
      </c>
      <c r="O236" t="s">
        <v>1722</v>
      </c>
      <c r="P236" t="s">
        <v>1723</v>
      </c>
      <c r="Q236" t="s">
        <v>1730</v>
      </c>
    </row>
    <row r="237" spans="1:17" x14ac:dyDescent="0.25">
      <c r="A237" t="s">
        <v>1459</v>
      </c>
      <c r="N237" t="s">
        <v>1731</v>
      </c>
      <c r="O237" t="s">
        <v>1722</v>
      </c>
      <c r="P237" t="s">
        <v>1732</v>
      </c>
      <c r="Q237" t="s">
        <v>1732</v>
      </c>
    </row>
    <row r="238" spans="1:17" x14ac:dyDescent="0.25">
      <c r="A238" t="s">
        <v>1465</v>
      </c>
      <c r="N238" t="s">
        <v>1733</v>
      </c>
      <c r="O238" t="s">
        <v>1734</v>
      </c>
      <c r="P238" t="s">
        <v>1735</v>
      </c>
      <c r="Q238" t="s">
        <v>1736</v>
      </c>
    </row>
    <row r="239" spans="1:17" x14ac:dyDescent="0.25">
      <c r="A239" t="s">
        <v>1468</v>
      </c>
      <c r="N239" t="s">
        <v>1737</v>
      </c>
      <c r="O239" t="s">
        <v>1734</v>
      </c>
      <c r="P239" t="s">
        <v>1735</v>
      </c>
      <c r="Q239" t="s">
        <v>1738</v>
      </c>
    </row>
    <row r="240" spans="1:17" x14ac:dyDescent="0.25">
      <c r="A240" t="s">
        <v>1473</v>
      </c>
      <c r="N240" t="s">
        <v>1739</v>
      </c>
      <c r="O240" t="s">
        <v>1734</v>
      </c>
      <c r="P240" t="s">
        <v>1740</v>
      </c>
      <c r="Q240" t="s">
        <v>1741</v>
      </c>
    </row>
    <row r="241" spans="1:17" x14ac:dyDescent="0.25">
      <c r="A241" t="s">
        <v>1478</v>
      </c>
      <c r="N241" t="s">
        <v>1742</v>
      </c>
      <c r="O241" t="s">
        <v>1734</v>
      </c>
      <c r="P241" t="s">
        <v>1740</v>
      </c>
      <c r="Q241" t="s">
        <v>1743</v>
      </c>
    </row>
    <row r="242" spans="1:17" x14ac:dyDescent="0.25">
      <c r="A242" t="s">
        <v>1484</v>
      </c>
      <c r="N242" t="s">
        <v>1744</v>
      </c>
      <c r="O242" t="s">
        <v>1734</v>
      </c>
      <c r="P242" t="s">
        <v>1740</v>
      </c>
      <c r="Q242" t="s">
        <v>1745</v>
      </c>
    </row>
    <row r="243" spans="1:17" x14ac:dyDescent="0.25">
      <c r="A243" t="s">
        <v>1489</v>
      </c>
      <c r="N243" t="s">
        <v>1746</v>
      </c>
      <c r="O243" t="s">
        <v>1734</v>
      </c>
      <c r="P243" t="s">
        <v>1747</v>
      </c>
      <c r="Q243" t="s">
        <v>1748</v>
      </c>
    </row>
    <row r="244" spans="1:17" x14ac:dyDescent="0.25">
      <c r="A244" t="s">
        <v>1496</v>
      </c>
      <c r="N244" t="s">
        <v>1749</v>
      </c>
      <c r="O244" t="s">
        <v>1734</v>
      </c>
      <c r="P244" t="s">
        <v>1747</v>
      </c>
      <c r="Q244" t="s">
        <v>1750</v>
      </c>
    </row>
    <row r="245" spans="1:17" x14ac:dyDescent="0.25">
      <c r="A245" t="s">
        <v>1499</v>
      </c>
      <c r="N245" t="s">
        <v>1751</v>
      </c>
      <c r="O245" t="s">
        <v>1734</v>
      </c>
      <c r="P245" t="s">
        <v>1747</v>
      </c>
      <c r="Q245" t="s">
        <v>1752</v>
      </c>
    </row>
    <row r="246" spans="1:17" x14ac:dyDescent="0.25">
      <c r="A246" t="s">
        <v>1504</v>
      </c>
      <c r="N246" t="s">
        <v>1753</v>
      </c>
      <c r="O246" t="s">
        <v>1599</v>
      </c>
      <c r="P246" t="s">
        <v>1754</v>
      </c>
      <c r="Q246" t="s">
        <v>1755</v>
      </c>
    </row>
    <row r="247" spans="1:17" x14ac:dyDescent="0.25">
      <c r="A247" t="s">
        <v>1510</v>
      </c>
      <c r="N247" t="s">
        <v>1756</v>
      </c>
      <c r="O247" t="s">
        <v>1599</v>
      </c>
      <c r="P247" t="s">
        <v>1754</v>
      </c>
      <c r="Q247" t="s">
        <v>1757</v>
      </c>
    </row>
    <row r="248" spans="1:17" x14ac:dyDescent="0.25">
      <c r="A248" t="s">
        <v>1515</v>
      </c>
      <c r="N248" t="s">
        <v>1758</v>
      </c>
      <c r="O248" t="s">
        <v>1599</v>
      </c>
      <c r="P248" t="s">
        <v>1759</v>
      </c>
      <c r="Q248" t="s">
        <v>1760</v>
      </c>
    </row>
    <row r="249" spans="1:17" x14ac:dyDescent="0.25">
      <c r="A249" t="s">
        <v>1521</v>
      </c>
      <c r="N249" t="s">
        <v>1761</v>
      </c>
      <c r="O249" t="s">
        <v>1599</v>
      </c>
      <c r="P249" t="s">
        <v>1759</v>
      </c>
      <c r="Q249" t="s">
        <v>1762</v>
      </c>
    </row>
    <row r="250" spans="1:17" x14ac:dyDescent="0.25">
      <c r="A250" t="s">
        <v>1526</v>
      </c>
      <c r="N250" t="s">
        <v>1763</v>
      </c>
      <c r="O250" t="s">
        <v>1599</v>
      </c>
      <c r="P250" t="s">
        <v>1759</v>
      </c>
      <c r="Q250" t="s">
        <v>1764</v>
      </c>
    </row>
    <row r="251" spans="1:17" x14ac:dyDescent="0.25">
      <c r="A251" t="s">
        <v>1531</v>
      </c>
      <c r="N251" t="s">
        <v>1765</v>
      </c>
      <c r="O251" t="s">
        <v>1599</v>
      </c>
      <c r="P251" t="s">
        <v>1759</v>
      </c>
      <c r="Q251" t="s">
        <v>1766</v>
      </c>
    </row>
    <row r="252" spans="1:17" x14ac:dyDescent="0.25">
      <c r="A252" t="s">
        <v>1536</v>
      </c>
      <c r="N252" t="s">
        <v>1767</v>
      </c>
      <c r="O252" t="s">
        <v>1599</v>
      </c>
      <c r="P252" t="s">
        <v>1759</v>
      </c>
      <c r="Q252" t="s">
        <v>1768</v>
      </c>
    </row>
    <row r="253" spans="1:17" x14ac:dyDescent="0.25">
      <c r="A253" t="s">
        <v>1543</v>
      </c>
      <c r="N253" t="s">
        <v>1769</v>
      </c>
      <c r="O253" t="s">
        <v>1599</v>
      </c>
      <c r="P253" t="s">
        <v>1770</v>
      </c>
      <c r="Q253" t="s">
        <v>1771</v>
      </c>
    </row>
    <row r="254" spans="1:17" x14ac:dyDescent="0.25">
      <c r="A254" t="s">
        <v>1548</v>
      </c>
      <c r="N254" t="s">
        <v>1772</v>
      </c>
      <c r="O254" t="s">
        <v>1599</v>
      </c>
      <c r="P254" t="s">
        <v>1770</v>
      </c>
      <c r="Q254" t="s">
        <v>1773</v>
      </c>
    </row>
    <row r="255" spans="1:17" x14ac:dyDescent="0.25">
      <c r="A255" t="s">
        <v>1554</v>
      </c>
      <c r="N255" t="s">
        <v>1774</v>
      </c>
      <c r="O255" t="s">
        <v>1599</v>
      </c>
      <c r="P255" t="s">
        <v>1770</v>
      </c>
      <c r="Q255" t="s">
        <v>1775</v>
      </c>
    </row>
    <row r="256" spans="1:17" x14ac:dyDescent="0.25">
      <c r="A256" t="s">
        <v>1559</v>
      </c>
      <c r="N256" t="s">
        <v>1776</v>
      </c>
      <c r="O256" t="s">
        <v>1599</v>
      </c>
      <c r="P256" t="s">
        <v>1770</v>
      </c>
      <c r="Q256" t="s">
        <v>1777</v>
      </c>
    </row>
    <row r="257" spans="1:17" x14ac:dyDescent="0.25">
      <c r="A257" t="s">
        <v>1564</v>
      </c>
      <c r="N257" t="s">
        <v>1778</v>
      </c>
      <c r="O257" t="s">
        <v>1599</v>
      </c>
      <c r="P257" t="s">
        <v>1779</v>
      </c>
      <c r="Q257" t="s">
        <v>1780</v>
      </c>
    </row>
    <row r="258" spans="1:17" x14ac:dyDescent="0.25">
      <c r="A258" t="s">
        <v>1570</v>
      </c>
      <c r="N258" t="s">
        <v>1781</v>
      </c>
      <c r="O258" t="s">
        <v>1599</v>
      </c>
      <c r="P258" t="s">
        <v>1779</v>
      </c>
      <c r="Q258" t="s">
        <v>1782</v>
      </c>
    </row>
    <row r="259" spans="1:17" x14ac:dyDescent="0.25">
      <c r="A259" t="s">
        <v>1575</v>
      </c>
      <c r="N259" t="s">
        <v>1783</v>
      </c>
      <c r="O259" t="s">
        <v>1599</v>
      </c>
      <c r="P259" t="s">
        <v>1779</v>
      </c>
      <c r="Q259" t="s">
        <v>1784</v>
      </c>
    </row>
    <row r="260" spans="1:17" x14ac:dyDescent="0.25">
      <c r="A260" t="s">
        <v>1581</v>
      </c>
      <c r="N260" t="s">
        <v>1785</v>
      </c>
      <c r="O260" t="s">
        <v>1599</v>
      </c>
      <c r="P260" t="s">
        <v>1786</v>
      </c>
      <c r="Q260" t="s">
        <v>1787</v>
      </c>
    </row>
    <row r="261" spans="1:17" x14ac:dyDescent="0.25">
      <c r="A261" t="s">
        <v>1586</v>
      </c>
      <c r="N261" t="s">
        <v>1788</v>
      </c>
      <c r="O261" t="s">
        <v>1599</v>
      </c>
      <c r="P261" t="s">
        <v>1786</v>
      </c>
      <c r="Q261" t="s">
        <v>1789</v>
      </c>
    </row>
    <row r="262" spans="1:17" x14ac:dyDescent="0.25">
      <c r="A262" t="s">
        <v>1591</v>
      </c>
      <c r="N262" t="s">
        <v>1790</v>
      </c>
      <c r="O262" t="s">
        <v>1599</v>
      </c>
      <c r="P262" t="s">
        <v>1786</v>
      </c>
      <c r="Q262" t="s">
        <v>1791</v>
      </c>
    </row>
    <row r="263" spans="1:17" x14ac:dyDescent="0.25">
      <c r="A263" t="s">
        <v>1597</v>
      </c>
      <c r="N263" t="s">
        <v>1792</v>
      </c>
      <c r="O263" t="s">
        <v>1599</v>
      </c>
      <c r="P263" t="s">
        <v>1793</v>
      </c>
      <c r="Q263" t="s">
        <v>1794</v>
      </c>
    </row>
    <row r="264" spans="1:17" x14ac:dyDescent="0.25">
      <c r="A264" t="s">
        <v>1601</v>
      </c>
      <c r="N264" t="s">
        <v>1795</v>
      </c>
      <c r="O264" t="s">
        <v>1599</v>
      </c>
      <c r="P264" t="s">
        <v>1793</v>
      </c>
      <c r="Q264" t="s">
        <v>1796</v>
      </c>
    </row>
    <row r="265" spans="1:17" x14ac:dyDescent="0.25">
      <c r="A265" t="s">
        <v>1607</v>
      </c>
      <c r="N265" t="s">
        <v>1797</v>
      </c>
      <c r="O265" t="s">
        <v>1599</v>
      </c>
      <c r="P265" t="s">
        <v>1793</v>
      </c>
      <c r="Q265" t="s">
        <v>1798</v>
      </c>
    </row>
    <row r="266" spans="1:17" x14ac:dyDescent="0.25">
      <c r="A266" t="s">
        <v>1611</v>
      </c>
      <c r="N266" t="s">
        <v>1799</v>
      </c>
      <c r="O266" t="s">
        <v>1599</v>
      </c>
      <c r="P266" t="s">
        <v>1800</v>
      </c>
      <c r="Q266" t="s">
        <v>1801</v>
      </c>
    </row>
    <row r="267" spans="1:17" x14ac:dyDescent="0.25">
      <c r="A267" t="s">
        <v>1616</v>
      </c>
      <c r="N267" t="s">
        <v>1802</v>
      </c>
      <c r="O267" t="s">
        <v>1599</v>
      </c>
      <c r="P267" t="s">
        <v>1800</v>
      </c>
      <c r="Q267" t="s">
        <v>1803</v>
      </c>
    </row>
    <row r="268" spans="1:17" x14ac:dyDescent="0.25">
      <c r="A268" t="s">
        <v>1622</v>
      </c>
      <c r="N268" t="s">
        <v>1804</v>
      </c>
      <c r="O268" t="s">
        <v>1599</v>
      </c>
      <c r="P268" t="s">
        <v>1800</v>
      </c>
      <c r="Q268" t="s">
        <v>1805</v>
      </c>
    </row>
    <row r="269" spans="1:17" x14ac:dyDescent="0.25">
      <c r="A269" t="s">
        <v>1627</v>
      </c>
      <c r="N269" t="s">
        <v>1806</v>
      </c>
      <c r="O269" t="s">
        <v>1599</v>
      </c>
      <c r="P269" t="s">
        <v>1800</v>
      </c>
      <c r="Q269" t="s">
        <v>1807</v>
      </c>
    </row>
    <row r="270" spans="1:17" x14ac:dyDescent="0.25">
      <c r="A270" t="s">
        <v>1633</v>
      </c>
      <c r="N270" t="s">
        <v>1808</v>
      </c>
      <c r="O270" t="s">
        <v>1599</v>
      </c>
      <c r="P270" t="s">
        <v>1800</v>
      </c>
      <c r="Q270" t="s">
        <v>1809</v>
      </c>
    </row>
    <row r="271" spans="1:17" x14ac:dyDescent="0.25">
      <c r="A271" t="s">
        <v>1638</v>
      </c>
      <c r="N271" t="s">
        <v>1810</v>
      </c>
      <c r="O271" t="s">
        <v>1599</v>
      </c>
      <c r="P271" t="s">
        <v>1811</v>
      </c>
      <c r="Q271" t="s">
        <v>1812</v>
      </c>
    </row>
    <row r="272" spans="1:17" x14ac:dyDescent="0.25">
      <c r="A272" t="s">
        <v>1643</v>
      </c>
      <c r="N272" t="s">
        <v>1813</v>
      </c>
      <c r="O272" t="s">
        <v>1599</v>
      </c>
      <c r="P272" t="s">
        <v>1811</v>
      </c>
      <c r="Q272" t="s">
        <v>1814</v>
      </c>
    </row>
    <row r="273" spans="1:17" x14ac:dyDescent="0.25">
      <c r="A273" t="s">
        <v>1648</v>
      </c>
      <c r="N273" t="s">
        <v>1815</v>
      </c>
      <c r="O273" t="s">
        <v>1599</v>
      </c>
      <c r="P273" t="s">
        <v>1811</v>
      </c>
      <c r="Q273" t="s">
        <v>1816</v>
      </c>
    </row>
    <row r="274" spans="1:17" x14ac:dyDescent="0.25">
      <c r="A274" t="s">
        <v>1653</v>
      </c>
      <c r="N274" t="s">
        <v>1817</v>
      </c>
      <c r="O274" t="s">
        <v>1599</v>
      </c>
      <c r="P274" t="s">
        <v>1811</v>
      </c>
      <c r="Q274" t="s">
        <v>1818</v>
      </c>
    </row>
    <row r="275" spans="1:17" x14ac:dyDescent="0.25">
      <c r="A275" t="s">
        <v>1658</v>
      </c>
      <c r="N275" t="s">
        <v>1819</v>
      </c>
      <c r="O275" t="s">
        <v>1599</v>
      </c>
      <c r="P275" t="s">
        <v>1820</v>
      </c>
      <c r="Q275" t="s">
        <v>1821</v>
      </c>
    </row>
    <row r="276" spans="1:17" x14ac:dyDescent="0.25">
      <c r="A276" t="s">
        <v>1663</v>
      </c>
      <c r="N276" t="s">
        <v>1822</v>
      </c>
      <c r="O276" t="s">
        <v>1599</v>
      </c>
      <c r="P276" t="s">
        <v>1820</v>
      </c>
      <c r="Q276" t="s">
        <v>1823</v>
      </c>
    </row>
    <row r="277" spans="1:17" x14ac:dyDescent="0.25">
      <c r="A277" t="s">
        <v>1670</v>
      </c>
      <c r="N277" t="s">
        <v>1824</v>
      </c>
      <c r="O277" t="s">
        <v>1599</v>
      </c>
      <c r="P277" t="s">
        <v>1820</v>
      </c>
      <c r="Q277" t="s">
        <v>1825</v>
      </c>
    </row>
    <row r="278" spans="1:17" x14ac:dyDescent="0.25">
      <c r="A278" t="s">
        <v>1675</v>
      </c>
      <c r="N278" t="s">
        <v>1826</v>
      </c>
      <c r="O278" t="s">
        <v>1599</v>
      </c>
      <c r="P278" t="s">
        <v>1820</v>
      </c>
      <c r="Q278" t="s">
        <v>1827</v>
      </c>
    </row>
    <row r="279" spans="1:17" x14ac:dyDescent="0.25">
      <c r="A279" t="s">
        <v>1680</v>
      </c>
      <c r="N279" t="s">
        <v>1828</v>
      </c>
      <c r="O279" t="s">
        <v>1599</v>
      </c>
      <c r="P279" t="s">
        <v>1829</v>
      </c>
      <c r="Q279" t="s">
        <v>1830</v>
      </c>
    </row>
    <row r="280" spans="1:17" x14ac:dyDescent="0.25">
      <c r="A280" t="s">
        <v>1685</v>
      </c>
      <c r="N280" t="s">
        <v>1831</v>
      </c>
      <c r="O280" t="s">
        <v>1599</v>
      </c>
      <c r="P280" t="s">
        <v>1829</v>
      </c>
      <c r="Q280" t="s">
        <v>1832</v>
      </c>
    </row>
    <row r="281" spans="1:17" x14ac:dyDescent="0.25">
      <c r="A281" t="s">
        <v>1691</v>
      </c>
      <c r="N281" t="s">
        <v>1833</v>
      </c>
      <c r="O281" t="s">
        <v>1599</v>
      </c>
      <c r="P281" t="s">
        <v>1834</v>
      </c>
      <c r="Q281" t="s">
        <v>1835</v>
      </c>
    </row>
    <row r="282" spans="1:17" x14ac:dyDescent="0.25">
      <c r="A282" t="s">
        <v>1696</v>
      </c>
      <c r="N282" t="s">
        <v>1836</v>
      </c>
      <c r="O282" t="s">
        <v>1599</v>
      </c>
      <c r="P282" t="s">
        <v>1834</v>
      </c>
      <c r="Q282" t="s">
        <v>1837</v>
      </c>
    </row>
    <row r="283" spans="1:17" x14ac:dyDescent="0.25">
      <c r="A283" t="s">
        <v>1702</v>
      </c>
      <c r="N283" t="s">
        <v>1838</v>
      </c>
      <c r="O283" t="s">
        <v>1599</v>
      </c>
      <c r="P283" t="s">
        <v>1834</v>
      </c>
      <c r="Q283" t="s">
        <v>1839</v>
      </c>
    </row>
    <row r="284" spans="1:17" x14ac:dyDescent="0.25">
      <c r="A284" t="s">
        <v>1707</v>
      </c>
      <c r="N284" t="s">
        <v>1840</v>
      </c>
      <c r="O284" t="s">
        <v>1599</v>
      </c>
      <c r="P284" t="s">
        <v>1834</v>
      </c>
      <c r="Q284" t="s">
        <v>1841</v>
      </c>
    </row>
    <row r="285" spans="1:17" x14ac:dyDescent="0.25">
      <c r="A285" t="s">
        <v>1710</v>
      </c>
      <c r="N285" t="s">
        <v>1842</v>
      </c>
      <c r="O285" t="s">
        <v>1599</v>
      </c>
      <c r="P285" t="s">
        <v>1834</v>
      </c>
      <c r="Q285" t="s">
        <v>1843</v>
      </c>
    </row>
    <row r="286" spans="1:17" x14ac:dyDescent="0.25">
      <c r="A286" t="s">
        <v>1712</v>
      </c>
      <c r="N286" t="s">
        <v>1844</v>
      </c>
      <c r="O286" t="s">
        <v>1599</v>
      </c>
      <c r="P286" t="s">
        <v>1845</v>
      </c>
      <c r="Q286" t="s">
        <v>1845</v>
      </c>
    </row>
    <row r="287" spans="1:17" x14ac:dyDescent="0.25">
      <c r="A287" t="s">
        <v>1715</v>
      </c>
      <c r="N287" t="s">
        <v>1846</v>
      </c>
      <c r="O287" t="s">
        <v>1847</v>
      </c>
      <c r="P287" t="s">
        <v>1847</v>
      </c>
      <c r="Q287" t="s">
        <v>1847</v>
      </c>
    </row>
    <row r="288" spans="1:17" x14ac:dyDescent="0.25">
      <c r="A288" t="s">
        <v>1717</v>
      </c>
      <c r="N288" t="s">
        <v>1848</v>
      </c>
      <c r="O288" t="s">
        <v>1126</v>
      </c>
      <c r="P288" t="s">
        <v>1126</v>
      </c>
      <c r="Q288" t="s">
        <v>1126</v>
      </c>
    </row>
    <row r="289" spans="1:17" x14ac:dyDescent="0.25">
      <c r="A289" t="s">
        <v>1719</v>
      </c>
      <c r="N289" t="s">
        <v>1849</v>
      </c>
      <c r="O289" t="s">
        <v>1850</v>
      </c>
      <c r="P289" t="s">
        <v>1850</v>
      </c>
      <c r="Q289" t="s">
        <v>1851</v>
      </c>
    </row>
    <row r="290" spans="1:17" x14ac:dyDescent="0.25">
      <c r="A290" t="s">
        <v>1721</v>
      </c>
      <c r="N290" t="s">
        <v>1852</v>
      </c>
      <c r="O290" t="s">
        <v>1850</v>
      </c>
      <c r="P290" t="s">
        <v>1850</v>
      </c>
      <c r="Q290" t="s">
        <v>1853</v>
      </c>
    </row>
    <row r="291" spans="1:17" x14ac:dyDescent="0.25">
      <c r="A291" t="s">
        <v>1725</v>
      </c>
      <c r="N291" t="s">
        <v>1854</v>
      </c>
      <c r="O291" t="s">
        <v>1850</v>
      </c>
      <c r="P291" t="s">
        <v>1850</v>
      </c>
      <c r="Q291" t="s">
        <v>1855</v>
      </c>
    </row>
    <row r="292" spans="1:17" x14ac:dyDescent="0.25">
      <c r="A292" t="s">
        <v>1727</v>
      </c>
      <c r="N292" t="s">
        <v>1856</v>
      </c>
      <c r="O292" t="s">
        <v>1850</v>
      </c>
      <c r="P292" t="s">
        <v>1850</v>
      </c>
      <c r="Q292" t="s">
        <v>1857</v>
      </c>
    </row>
    <row r="293" spans="1:17" x14ac:dyDescent="0.25">
      <c r="A293" t="s">
        <v>1729</v>
      </c>
      <c r="N293" t="s">
        <v>1858</v>
      </c>
      <c r="O293" t="s">
        <v>1850</v>
      </c>
      <c r="P293" t="s">
        <v>1850</v>
      </c>
      <c r="Q293" t="s">
        <v>1859</v>
      </c>
    </row>
    <row r="294" spans="1:17" x14ac:dyDescent="0.25">
      <c r="A294" t="s">
        <v>1731</v>
      </c>
      <c r="N294" t="s">
        <v>1860</v>
      </c>
      <c r="O294" t="s">
        <v>1850</v>
      </c>
      <c r="P294" t="s">
        <v>1850</v>
      </c>
      <c r="Q294" t="s">
        <v>1861</v>
      </c>
    </row>
    <row r="295" spans="1:17" x14ac:dyDescent="0.25">
      <c r="A295" t="s">
        <v>1733</v>
      </c>
      <c r="N295" t="s">
        <v>1862</v>
      </c>
      <c r="O295" t="s">
        <v>1850</v>
      </c>
      <c r="P295" t="s">
        <v>1850</v>
      </c>
      <c r="Q295" t="s">
        <v>1863</v>
      </c>
    </row>
    <row r="296" spans="1:17" x14ac:dyDescent="0.25">
      <c r="A296" t="s">
        <v>1737</v>
      </c>
      <c r="N296" t="s">
        <v>1864</v>
      </c>
      <c r="O296" t="s">
        <v>1865</v>
      </c>
      <c r="P296" t="s">
        <v>1865</v>
      </c>
      <c r="Q296" t="s">
        <v>1866</v>
      </c>
    </row>
    <row r="297" spans="1:17" x14ac:dyDescent="0.25">
      <c r="A297" t="s">
        <v>1739</v>
      </c>
      <c r="N297" t="s">
        <v>1867</v>
      </c>
      <c r="O297" t="s">
        <v>1865</v>
      </c>
      <c r="P297" t="s">
        <v>1865</v>
      </c>
      <c r="Q297" t="s">
        <v>1868</v>
      </c>
    </row>
    <row r="298" spans="1:17" x14ac:dyDescent="0.25">
      <c r="A298" t="s">
        <v>1742</v>
      </c>
      <c r="N298" t="s">
        <v>1869</v>
      </c>
      <c r="O298" t="s">
        <v>1865</v>
      </c>
      <c r="P298" t="s">
        <v>1865</v>
      </c>
      <c r="Q298" t="s">
        <v>1870</v>
      </c>
    </row>
    <row r="299" spans="1:17" x14ac:dyDescent="0.25">
      <c r="A299" t="s">
        <v>1744</v>
      </c>
      <c r="N299" t="s">
        <v>1871</v>
      </c>
      <c r="O299" t="s">
        <v>1865</v>
      </c>
      <c r="P299" t="s">
        <v>1865</v>
      </c>
      <c r="Q299" t="s">
        <v>1872</v>
      </c>
    </row>
    <row r="300" spans="1:17" x14ac:dyDescent="0.25">
      <c r="A300" t="s">
        <v>1746</v>
      </c>
      <c r="N300" t="s">
        <v>1873</v>
      </c>
      <c r="O300" t="s">
        <v>1865</v>
      </c>
      <c r="P300" t="s">
        <v>1865</v>
      </c>
      <c r="Q300" t="s">
        <v>1874</v>
      </c>
    </row>
    <row r="301" spans="1:17" x14ac:dyDescent="0.25">
      <c r="A301" t="s">
        <v>1749</v>
      </c>
      <c r="N301" t="s">
        <v>1875</v>
      </c>
      <c r="O301" t="s">
        <v>1865</v>
      </c>
      <c r="P301" t="s">
        <v>1865</v>
      </c>
      <c r="Q301" t="s">
        <v>1876</v>
      </c>
    </row>
    <row r="302" spans="1:17" x14ac:dyDescent="0.25">
      <c r="A302" t="s">
        <v>1751</v>
      </c>
      <c r="N302" t="s">
        <v>1877</v>
      </c>
      <c r="O302" t="s">
        <v>1865</v>
      </c>
      <c r="P302" t="s">
        <v>1865</v>
      </c>
      <c r="Q302" t="s">
        <v>1878</v>
      </c>
    </row>
    <row r="303" spans="1:17" x14ac:dyDescent="0.25">
      <c r="A303" t="s">
        <v>1753</v>
      </c>
      <c r="N303" t="s">
        <v>1879</v>
      </c>
      <c r="O303" t="s">
        <v>1880</v>
      </c>
      <c r="P303" t="s">
        <v>1880</v>
      </c>
      <c r="Q303" t="s">
        <v>1880</v>
      </c>
    </row>
    <row r="304" spans="1:17" x14ac:dyDescent="0.25">
      <c r="A304" t="s">
        <v>1756</v>
      </c>
      <c r="N304" t="s">
        <v>1881</v>
      </c>
      <c r="O304" t="s">
        <v>1882</v>
      </c>
      <c r="P304" t="s">
        <v>1882</v>
      </c>
      <c r="Q304" t="s">
        <v>1882</v>
      </c>
    </row>
    <row r="305" spans="1:17" x14ac:dyDescent="0.25">
      <c r="A305" t="s">
        <v>1758</v>
      </c>
      <c r="N305" t="s">
        <v>1883</v>
      </c>
      <c r="O305" t="s">
        <v>1884</v>
      </c>
      <c r="P305" t="s">
        <v>1884</v>
      </c>
      <c r="Q305" t="s">
        <v>1885</v>
      </c>
    </row>
    <row r="306" spans="1:17" x14ac:dyDescent="0.25">
      <c r="A306" t="s">
        <v>1761</v>
      </c>
      <c r="N306" t="s">
        <v>1886</v>
      </c>
      <c r="O306" t="s">
        <v>1884</v>
      </c>
      <c r="P306" t="s">
        <v>1884</v>
      </c>
      <c r="Q306" t="s">
        <v>1887</v>
      </c>
    </row>
    <row r="307" spans="1:17" x14ac:dyDescent="0.25">
      <c r="A307" t="s">
        <v>1763</v>
      </c>
      <c r="N307" t="s">
        <v>1888</v>
      </c>
      <c r="O307" t="s">
        <v>1884</v>
      </c>
      <c r="P307" t="s">
        <v>1884</v>
      </c>
      <c r="Q307" t="s">
        <v>1889</v>
      </c>
    </row>
    <row r="308" spans="1:17" x14ac:dyDescent="0.25">
      <c r="A308" t="s">
        <v>1765</v>
      </c>
      <c r="N308" t="s">
        <v>1890</v>
      </c>
      <c r="O308" t="s">
        <v>1423</v>
      </c>
      <c r="P308" t="s">
        <v>1891</v>
      </c>
      <c r="Q308" t="s">
        <v>1892</v>
      </c>
    </row>
    <row r="309" spans="1:17" x14ac:dyDescent="0.25">
      <c r="A309" t="s">
        <v>1767</v>
      </c>
      <c r="N309" t="s">
        <v>1893</v>
      </c>
      <c r="O309" t="s">
        <v>1423</v>
      </c>
      <c r="P309" t="s">
        <v>1891</v>
      </c>
      <c r="Q309" t="s">
        <v>1894</v>
      </c>
    </row>
    <row r="310" spans="1:17" x14ac:dyDescent="0.25">
      <c r="A310" t="s">
        <v>1769</v>
      </c>
      <c r="N310" t="s">
        <v>1895</v>
      </c>
      <c r="O310" t="s">
        <v>1423</v>
      </c>
      <c r="P310" t="s">
        <v>1896</v>
      </c>
      <c r="Q310" t="s">
        <v>1897</v>
      </c>
    </row>
    <row r="311" spans="1:17" x14ac:dyDescent="0.25">
      <c r="A311" t="s">
        <v>1772</v>
      </c>
      <c r="N311" t="s">
        <v>1898</v>
      </c>
      <c r="O311" t="s">
        <v>1423</v>
      </c>
      <c r="P311" t="s">
        <v>1896</v>
      </c>
      <c r="Q311" t="s">
        <v>1899</v>
      </c>
    </row>
    <row r="312" spans="1:17" x14ac:dyDescent="0.25">
      <c r="A312" t="s">
        <v>1774</v>
      </c>
      <c r="N312" t="s">
        <v>1900</v>
      </c>
      <c r="O312" t="s">
        <v>1901</v>
      </c>
      <c r="P312" t="s">
        <v>1902</v>
      </c>
      <c r="Q312" t="s">
        <v>1902</v>
      </c>
    </row>
    <row r="313" spans="1:17" x14ac:dyDescent="0.25">
      <c r="A313" t="s">
        <v>1776</v>
      </c>
      <c r="N313" t="s">
        <v>1903</v>
      </c>
      <c r="O313" t="s">
        <v>1901</v>
      </c>
      <c r="P313" t="s">
        <v>1904</v>
      </c>
      <c r="Q313" t="s">
        <v>1905</v>
      </c>
    </row>
    <row r="314" spans="1:17" x14ac:dyDescent="0.25">
      <c r="A314" t="s">
        <v>1778</v>
      </c>
      <c r="N314" t="s">
        <v>1906</v>
      </c>
      <c r="O314" t="s">
        <v>1901</v>
      </c>
      <c r="P314" t="s">
        <v>1904</v>
      </c>
      <c r="Q314" t="s">
        <v>1907</v>
      </c>
    </row>
    <row r="315" spans="1:17" x14ac:dyDescent="0.25">
      <c r="A315" t="s">
        <v>1781</v>
      </c>
      <c r="N315" t="s">
        <v>1908</v>
      </c>
      <c r="O315" t="s">
        <v>1901</v>
      </c>
      <c r="P315" t="s">
        <v>1909</v>
      </c>
      <c r="Q315" t="s">
        <v>1910</v>
      </c>
    </row>
    <row r="316" spans="1:17" x14ac:dyDescent="0.25">
      <c r="A316" t="s">
        <v>1783</v>
      </c>
      <c r="N316" t="s">
        <v>1911</v>
      </c>
      <c r="O316" t="s">
        <v>1901</v>
      </c>
      <c r="P316" t="s">
        <v>1909</v>
      </c>
      <c r="Q316" t="s">
        <v>1912</v>
      </c>
    </row>
    <row r="317" spans="1:17" x14ac:dyDescent="0.25">
      <c r="A317" t="s">
        <v>1785</v>
      </c>
      <c r="N317" t="s">
        <v>1913</v>
      </c>
      <c r="O317" t="s">
        <v>1901</v>
      </c>
      <c r="P317" t="s">
        <v>1909</v>
      </c>
      <c r="Q317" t="s">
        <v>1914</v>
      </c>
    </row>
    <row r="318" spans="1:17" x14ac:dyDescent="0.25">
      <c r="A318" t="s">
        <v>1788</v>
      </c>
      <c r="N318" t="s">
        <v>1915</v>
      </c>
      <c r="O318" t="s">
        <v>1901</v>
      </c>
      <c r="P318" t="s">
        <v>1916</v>
      </c>
      <c r="Q318" t="s">
        <v>1917</v>
      </c>
    </row>
    <row r="319" spans="1:17" x14ac:dyDescent="0.25">
      <c r="A319" t="s">
        <v>1790</v>
      </c>
      <c r="N319" t="s">
        <v>1918</v>
      </c>
      <c r="O319" t="s">
        <v>1901</v>
      </c>
      <c r="P319" t="s">
        <v>1916</v>
      </c>
      <c r="Q319" t="s">
        <v>1919</v>
      </c>
    </row>
    <row r="320" spans="1:17" x14ac:dyDescent="0.25">
      <c r="A320" t="s">
        <v>1792</v>
      </c>
      <c r="N320" t="s">
        <v>1920</v>
      </c>
      <c r="O320" t="s">
        <v>1901</v>
      </c>
      <c r="P320" t="s">
        <v>1921</v>
      </c>
      <c r="Q320" t="s">
        <v>1922</v>
      </c>
    </row>
    <row r="321" spans="1:17" x14ac:dyDescent="0.25">
      <c r="A321" t="s">
        <v>1795</v>
      </c>
      <c r="N321" t="s">
        <v>1923</v>
      </c>
      <c r="O321" t="s">
        <v>1901</v>
      </c>
      <c r="P321" t="s">
        <v>1921</v>
      </c>
      <c r="Q321" t="s">
        <v>1924</v>
      </c>
    </row>
    <row r="322" spans="1:17" x14ac:dyDescent="0.25">
      <c r="A322" t="s">
        <v>1797</v>
      </c>
      <c r="N322" t="s">
        <v>1925</v>
      </c>
      <c r="O322" t="s">
        <v>1901</v>
      </c>
      <c r="P322" t="s">
        <v>1926</v>
      </c>
      <c r="Q322" t="s">
        <v>1927</v>
      </c>
    </row>
    <row r="323" spans="1:17" x14ac:dyDescent="0.25">
      <c r="A323" t="s">
        <v>1799</v>
      </c>
      <c r="N323" t="s">
        <v>1928</v>
      </c>
      <c r="O323" t="s">
        <v>1901</v>
      </c>
      <c r="P323" t="s">
        <v>1926</v>
      </c>
      <c r="Q323" t="s">
        <v>1929</v>
      </c>
    </row>
    <row r="324" spans="1:17" x14ac:dyDescent="0.25">
      <c r="A324" t="s">
        <v>1802</v>
      </c>
      <c r="N324" t="s">
        <v>1930</v>
      </c>
      <c r="O324" t="s">
        <v>1901</v>
      </c>
      <c r="P324" t="s">
        <v>1926</v>
      </c>
      <c r="Q324" t="s">
        <v>1931</v>
      </c>
    </row>
    <row r="325" spans="1:17" x14ac:dyDescent="0.25">
      <c r="A325" t="s">
        <v>1804</v>
      </c>
      <c r="N325" t="s">
        <v>1932</v>
      </c>
      <c r="O325" t="s">
        <v>1901</v>
      </c>
      <c r="P325" t="s">
        <v>1933</v>
      </c>
      <c r="Q325" t="s">
        <v>1934</v>
      </c>
    </row>
    <row r="326" spans="1:17" x14ac:dyDescent="0.25">
      <c r="A326" t="s">
        <v>1806</v>
      </c>
      <c r="N326" t="s">
        <v>1935</v>
      </c>
      <c r="O326" t="s">
        <v>1901</v>
      </c>
      <c r="P326" t="s">
        <v>1933</v>
      </c>
      <c r="Q326" t="s">
        <v>1936</v>
      </c>
    </row>
    <row r="327" spans="1:17" x14ac:dyDescent="0.25">
      <c r="A327" t="s">
        <v>1808</v>
      </c>
      <c r="N327" t="s">
        <v>1937</v>
      </c>
      <c r="O327" t="s">
        <v>1901</v>
      </c>
      <c r="P327" t="s">
        <v>1938</v>
      </c>
      <c r="Q327" t="s">
        <v>1939</v>
      </c>
    </row>
    <row r="328" spans="1:17" x14ac:dyDescent="0.25">
      <c r="A328" t="s">
        <v>1810</v>
      </c>
      <c r="N328" t="s">
        <v>1940</v>
      </c>
      <c r="O328" t="s">
        <v>1901</v>
      </c>
      <c r="P328" t="s">
        <v>1938</v>
      </c>
      <c r="Q328" t="s">
        <v>1941</v>
      </c>
    </row>
    <row r="329" spans="1:17" x14ac:dyDescent="0.25">
      <c r="A329" t="s">
        <v>1813</v>
      </c>
      <c r="N329" t="s">
        <v>1942</v>
      </c>
      <c r="O329" t="s">
        <v>1901</v>
      </c>
      <c r="P329" t="s">
        <v>1938</v>
      </c>
      <c r="Q329" t="s">
        <v>1943</v>
      </c>
    </row>
    <row r="330" spans="1:17" x14ac:dyDescent="0.25">
      <c r="A330" t="s">
        <v>1815</v>
      </c>
      <c r="N330" t="s">
        <v>1944</v>
      </c>
      <c r="O330" t="s">
        <v>1901</v>
      </c>
      <c r="P330" t="s">
        <v>1945</v>
      </c>
      <c r="Q330" t="s">
        <v>1946</v>
      </c>
    </row>
    <row r="331" spans="1:17" x14ac:dyDescent="0.25">
      <c r="A331" t="s">
        <v>1817</v>
      </c>
      <c r="N331" t="s">
        <v>1947</v>
      </c>
      <c r="O331" t="s">
        <v>1901</v>
      </c>
      <c r="P331" t="s">
        <v>1948</v>
      </c>
      <c r="Q331" t="s">
        <v>1949</v>
      </c>
    </row>
    <row r="332" spans="1:17" x14ac:dyDescent="0.25">
      <c r="A332" t="s">
        <v>1819</v>
      </c>
      <c r="N332" t="s">
        <v>1950</v>
      </c>
      <c r="O332" t="s">
        <v>1901</v>
      </c>
      <c r="P332" t="s">
        <v>1948</v>
      </c>
      <c r="Q332" t="s">
        <v>1951</v>
      </c>
    </row>
    <row r="333" spans="1:17" x14ac:dyDescent="0.25">
      <c r="A333" t="s">
        <v>1822</v>
      </c>
      <c r="N333" t="s">
        <v>1952</v>
      </c>
      <c r="O333" t="s">
        <v>1901</v>
      </c>
      <c r="P333" t="s">
        <v>1953</v>
      </c>
      <c r="Q333" t="s">
        <v>1954</v>
      </c>
    </row>
    <row r="334" spans="1:17" x14ac:dyDescent="0.25">
      <c r="A334" t="s">
        <v>1824</v>
      </c>
      <c r="N334" t="s">
        <v>1955</v>
      </c>
      <c r="O334" t="s">
        <v>1901</v>
      </c>
      <c r="P334" t="s">
        <v>1953</v>
      </c>
      <c r="Q334" t="s">
        <v>1956</v>
      </c>
    </row>
    <row r="335" spans="1:17" x14ac:dyDescent="0.25">
      <c r="A335" t="s">
        <v>1826</v>
      </c>
      <c r="N335" t="s">
        <v>1957</v>
      </c>
      <c r="O335" t="s">
        <v>1901</v>
      </c>
      <c r="P335" t="s">
        <v>1958</v>
      </c>
      <c r="Q335" t="s">
        <v>1959</v>
      </c>
    </row>
    <row r="336" spans="1:17" x14ac:dyDescent="0.25">
      <c r="A336" t="s">
        <v>1828</v>
      </c>
      <c r="N336" t="s">
        <v>1960</v>
      </c>
      <c r="O336" t="s">
        <v>1901</v>
      </c>
      <c r="P336" t="s">
        <v>1958</v>
      </c>
      <c r="Q336" t="s">
        <v>1961</v>
      </c>
    </row>
    <row r="337" spans="1:17" x14ac:dyDescent="0.25">
      <c r="A337" t="s">
        <v>1831</v>
      </c>
      <c r="N337" t="s">
        <v>1962</v>
      </c>
      <c r="O337" t="s">
        <v>1901</v>
      </c>
      <c r="P337" t="s">
        <v>1958</v>
      </c>
      <c r="Q337" t="s">
        <v>1963</v>
      </c>
    </row>
    <row r="338" spans="1:17" x14ac:dyDescent="0.25">
      <c r="A338" t="s">
        <v>1833</v>
      </c>
    </row>
    <row r="339" spans="1:17" x14ac:dyDescent="0.25">
      <c r="A339" t="s">
        <v>1836</v>
      </c>
    </row>
    <row r="340" spans="1:17" x14ac:dyDescent="0.25">
      <c r="A340" t="s">
        <v>1838</v>
      </c>
    </row>
    <row r="341" spans="1:17" x14ac:dyDescent="0.25">
      <c r="A341" t="s">
        <v>1840</v>
      </c>
    </row>
    <row r="342" spans="1:17" x14ac:dyDescent="0.25">
      <c r="A342" t="s">
        <v>1842</v>
      </c>
    </row>
    <row r="343" spans="1:17" x14ac:dyDescent="0.25">
      <c r="A343" t="s">
        <v>1844</v>
      </c>
    </row>
    <row r="344" spans="1:17" x14ac:dyDescent="0.25">
      <c r="A344" t="s">
        <v>1849</v>
      </c>
    </row>
    <row r="345" spans="1:17" x14ac:dyDescent="0.25">
      <c r="A345" t="s">
        <v>1852</v>
      </c>
    </row>
    <row r="346" spans="1:17" x14ac:dyDescent="0.25">
      <c r="A346" t="s">
        <v>1854</v>
      </c>
    </row>
    <row r="347" spans="1:17" x14ac:dyDescent="0.25">
      <c r="A347" t="s">
        <v>1856</v>
      </c>
    </row>
    <row r="348" spans="1:17" x14ac:dyDescent="0.25">
      <c r="A348" t="s">
        <v>1858</v>
      </c>
    </row>
    <row r="349" spans="1:17" x14ac:dyDescent="0.25">
      <c r="A349" t="s">
        <v>1860</v>
      </c>
    </row>
    <row r="350" spans="1:17" x14ac:dyDescent="0.25">
      <c r="A350" t="s">
        <v>1862</v>
      </c>
    </row>
    <row r="351" spans="1:17" x14ac:dyDescent="0.25">
      <c r="A351" t="s">
        <v>1864</v>
      </c>
    </row>
    <row r="352" spans="1:17" x14ac:dyDescent="0.25">
      <c r="A352" t="s">
        <v>1867</v>
      </c>
    </row>
    <row r="353" spans="1:1" x14ac:dyDescent="0.25">
      <c r="A353" t="s">
        <v>1869</v>
      </c>
    </row>
    <row r="354" spans="1:1" x14ac:dyDescent="0.25">
      <c r="A354" t="s">
        <v>1871</v>
      </c>
    </row>
    <row r="355" spans="1:1" x14ac:dyDescent="0.25">
      <c r="A355" t="s">
        <v>1873</v>
      </c>
    </row>
    <row r="356" spans="1:1" x14ac:dyDescent="0.25">
      <c r="A356" t="s">
        <v>1875</v>
      </c>
    </row>
    <row r="357" spans="1:1" x14ac:dyDescent="0.25">
      <c r="A357" t="s">
        <v>1877</v>
      </c>
    </row>
  </sheetData>
  <autoFilter ref="G3:Q227" xr:uid="{00000000-0001-0000-0300-000000000000}"/>
  <sortState xmlns:xlrd2="http://schemas.microsoft.com/office/spreadsheetml/2017/richdata2" ref="A27:A53">
    <sortCondition ref="A27:A53"/>
  </sortState>
  <pageMargins left="0.7" right="0.7" top="0.75" bottom="0.75" header="0.3" footer="0.3"/>
  <pageSetup paperSize="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1B4A-5677-45DB-B70F-5403200552D3}">
  <sheetPr>
    <pageSetUpPr fitToPage="1"/>
  </sheetPr>
  <dimension ref="A1:B26"/>
  <sheetViews>
    <sheetView workbookViewId="0">
      <selection activeCell="G10" sqref="G10"/>
    </sheetView>
  </sheetViews>
  <sheetFormatPr defaultColWidth="8.85546875" defaultRowHeight="15" x14ac:dyDescent="0.25"/>
  <cols>
    <col min="1" max="1" width="18.42578125" bestFit="1" customWidth="1"/>
  </cols>
  <sheetData>
    <row r="1" spans="1:2" x14ac:dyDescent="0.25">
      <c r="A1" s="4" t="s">
        <v>1964</v>
      </c>
      <c r="B1" s="4" t="s">
        <v>14</v>
      </c>
    </row>
    <row r="2" spans="1:2" x14ac:dyDescent="0.25">
      <c r="A2" t="s">
        <v>12</v>
      </c>
    </row>
    <row r="3" spans="1:2" x14ac:dyDescent="0.25">
      <c r="A3" t="s">
        <v>195</v>
      </c>
    </row>
    <row r="4" spans="1:2" x14ac:dyDescent="0.25">
      <c r="A4" t="s">
        <v>198</v>
      </c>
    </row>
    <row r="5" spans="1:2" x14ac:dyDescent="0.25">
      <c r="A5" t="s">
        <v>207</v>
      </c>
    </row>
    <row r="6" spans="1:2" x14ac:dyDescent="0.25">
      <c r="A6" t="s">
        <v>216</v>
      </c>
    </row>
    <row r="7" spans="1:2" x14ac:dyDescent="0.25">
      <c r="A7" t="s">
        <v>241</v>
      </c>
    </row>
    <row r="8" spans="1:2" x14ac:dyDescent="0.25">
      <c r="A8" s="6" t="s">
        <v>248</v>
      </c>
    </row>
    <row r="9" spans="1:2" x14ac:dyDescent="0.25">
      <c r="A9" t="s">
        <v>266</v>
      </c>
    </row>
    <row r="10" spans="1:2" x14ac:dyDescent="0.25">
      <c r="A10" t="s">
        <v>269</v>
      </c>
    </row>
    <row r="11" spans="1:2" x14ac:dyDescent="0.25">
      <c r="A11" t="s">
        <v>290</v>
      </c>
    </row>
    <row r="12" spans="1:2" x14ac:dyDescent="0.25">
      <c r="A12" t="s">
        <v>295</v>
      </c>
    </row>
    <row r="13" spans="1:2" x14ac:dyDescent="0.25">
      <c r="A13" t="s">
        <v>1965</v>
      </c>
      <c r="B13" t="s">
        <v>1966</v>
      </c>
    </row>
    <row r="14" spans="1:2" x14ac:dyDescent="0.25">
      <c r="A14" s="12" t="s">
        <v>341</v>
      </c>
    </row>
    <row r="15" spans="1:2" x14ac:dyDescent="0.25">
      <c r="A15" s="12" t="s">
        <v>1967</v>
      </c>
    </row>
    <row r="16" spans="1:2" x14ac:dyDescent="0.25">
      <c r="A16" s="12" t="s">
        <v>1968</v>
      </c>
    </row>
    <row r="17" spans="1:2" x14ac:dyDescent="0.25">
      <c r="A17" s="12" t="s">
        <v>354</v>
      </c>
    </row>
    <row r="18" spans="1:2" x14ac:dyDescent="0.25">
      <c r="A18" t="s">
        <v>362</v>
      </c>
    </row>
    <row r="19" spans="1:2" x14ac:dyDescent="0.25">
      <c r="A19" t="s">
        <v>359</v>
      </c>
    </row>
    <row r="20" spans="1:2" x14ac:dyDescent="0.25">
      <c r="A20" t="s">
        <v>269</v>
      </c>
    </row>
    <row r="21" spans="1:2" x14ac:dyDescent="0.25">
      <c r="A21" t="s">
        <v>1969</v>
      </c>
    </row>
    <row r="22" spans="1:2" x14ac:dyDescent="0.25">
      <c r="A22" t="s">
        <v>1970</v>
      </c>
    </row>
    <row r="23" spans="1:2" x14ac:dyDescent="0.25">
      <c r="A23" t="s">
        <v>1971</v>
      </c>
    </row>
    <row r="24" spans="1:2" x14ac:dyDescent="0.25">
      <c r="A24" t="s">
        <v>411</v>
      </c>
      <c r="B24" t="s">
        <v>1972</v>
      </c>
    </row>
    <row r="25" spans="1:2" x14ac:dyDescent="0.25">
      <c r="A25" t="s">
        <v>1973</v>
      </c>
      <c r="B25" t="s">
        <v>1974</v>
      </c>
    </row>
    <row r="26" spans="1:2" x14ac:dyDescent="0.25">
      <c r="A26" s="39" t="s">
        <v>434</v>
      </c>
      <c r="B26" t="s">
        <v>1975</v>
      </c>
    </row>
  </sheetData>
  <pageMargins left="0.7" right="0.7" top="0.75" bottom="0.75" header="0.3" footer="0.3"/>
  <pageSetup paperSize="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I86"/>
  <sheetViews>
    <sheetView zoomScaleNormal="100" workbookViewId="0">
      <selection activeCell="D42" sqref="D42"/>
    </sheetView>
  </sheetViews>
  <sheetFormatPr defaultColWidth="9.28515625" defaultRowHeight="15" x14ac:dyDescent="0.25"/>
  <cols>
    <col min="1" max="1" width="8.7109375" customWidth="1"/>
    <col min="2" max="2" width="18.7109375" bestFit="1" customWidth="1"/>
    <col min="3" max="3" width="45.42578125" style="15" bestFit="1" customWidth="1"/>
    <col min="4" max="4" width="43.42578125" customWidth="1"/>
    <col min="6" max="6" width="13.28515625" customWidth="1"/>
    <col min="7" max="7" width="13.42578125" customWidth="1"/>
    <col min="8" max="8" width="10.85546875" customWidth="1"/>
  </cols>
  <sheetData>
    <row r="2" spans="1:9" x14ac:dyDescent="0.25">
      <c r="A2" s="4" t="s">
        <v>1977</v>
      </c>
      <c r="E2" t="s">
        <v>1978</v>
      </c>
    </row>
    <row r="3" spans="1:9" x14ac:dyDescent="0.25">
      <c r="A3" s="14"/>
      <c r="B3" s="14" t="s">
        <v>465</v>
      </c>
      <c r="C3" s="22" t="s">
        <v>14</v>
      </c>
      <c r="D3" s="14" t="s">
        <v>1979</v>
      </c>
      <c r="E3" s="4" t="s">
        <v>100</v>
      </c>
      <c r="F3" s="4" t="s">
        <v>104</v>
      </c>
      <c r="G3" s="4" t="s">
        <v>101</v>
      </c>
      <c r="H3" s="4" t="s">
        <v>102</v>
      </c>
      <c r="I3" s="4" t="s">
        <v>103</v>
      </c>
    </row>
    <row r="4" spans="1:9" x14ac:dyDescent="0.25">
      <c r="B4" t="s">
        <v>105</v>
      </c>
      <c r="C4" s="15" t="s">
        <v>1980</v>
      </c>
      <c r="D4" t="s">
        <v>1981</v>
      </c>
      <c r="F4" t="s">
        <v>1363</v>
      </c>
      <c r="I4" t="s">
        <v>1982</v>
      </c>
    </row>
    <row r="5" spans="1:9" x14ac:dyDescent="0.25">
      <c r="B5" t="s">
        <v>106</v>
      </c>
      <c r="C5" s="15" t="s">
        <v>17</v>
      </c>
      <c r="D5" t="s">
        <v>1983</v>
      </c>
      <c r="F5" t="s">
        <v>958</v>
      </c>
    </row>
    <row r="6" spans="1:9" x14ac:dyDescent="0.25">
      <c r="B6" t="s">
        <v>107</v>
      </c>
      <c r="C6" s="15" t="s">
        <v>1984</v>
      </c>
      <c r="D6" t="s">
        <v>1985</v>
      </c>
    </row>
    <row r="7" spans="1:9" x14ac:dyDescent="0.25">
      <c r="B7" t="s">
        <v>110</v>
      </c>
      <c r="C7" s="18" t="s">
        <v>1986</v>
      </c>
      <c r="D7" t="s">
        <v>1987</v>
      </c>
      <c r="I7" t="s">
        <v>1982</v>
      </c>
    </row>
    <row r="8" spans="1:9" x14ac:dyDescent="0.25">
      <c r="B8" t="s">
        <v>113</v>
      </c>
      <c r="C8" s="15" t="s">
        <v>1988</v>
      </c>
      <c r="D8" t="s">
        <v>1989</v>
      </c>
      <c r="I8" t="s">
        <v>1982</v>
      </c>
    </row>
    <row r="9" spans="1:9" x14ac:dyDescent="0.25">
      <c r="B9" t="s">
        <v>114</v>
      </c>
      <c r="C9" s="15" t="s">
        <v>1990</v>
      </c>
      <c r="D9" t="s">
        <v>1991</v>
      </c>
    </row>
    <row r="10" spans="1:9" x14ac:dyDescent="0.25">
      <c r="B10" s="15" t="s">
        <v>120</v>
      </c>
      <c r="C10" s="15" t="s">
        <v>31</v>
      </c>
      <c r="D10" s="15" t="s">
        <v>1992</v>
      </c>
      <c r="I10" t="s">
        <v>1993</v>
      </c>
    </row>
    <row r="11" spans="1:9" x14ac:dyDescent="0.25">
      <c r="B11" t="s">
        <v>123</v>
      </c>
      <c r="C11" s="15" t="s">
        <v>34</v>
      </c>
      <c r="I11" t="s">
        <v>1994</v>
      </c>
    </row>
    <row r="12" spans="1:9" x14ac:dyDescent="0.25">
      <c r="B12" t="s">
        <v>124</v>
      </c>
      <c r="C12" s="15" t="s">
        <v>1995</v>
      </c>
      <c r="D12" t="s">
        <v>1996</v>
      </c>
    </row>
    <row r="13" spans="1:9" x14ac:dyDescent="0.25">
      <c r="B13" t="s">
        <v>128</v>
      </c>
      <c r="C13" s="15" t="s">
        <v>1997</v>
      </c>
      <c r="D13" t="s">
        <v>1998</v>
      </c>
      <c r="I13" t="s">
        <v>1982</v>
      </c>
    </row>
    <row r="14" spans="1:9" x14ac:dyDescent="0.25">
      <c r="B14" t="s">
        <v>131</v>
      </c>
      <c r="C14" s="15" t="s">
        <v>1999</v>
      </c>
      <c r="D14" t="s">
        <v>2000</v>
      </c>
      <c r="I14" t="s">
        <v>1982</v>
      </c>
    </row>
    <row r="15" spans="1:9" x14ac:dyDescent="0.25">
      <c r="B15" t="s">
        <v>136</v>
      </c>
      <c r="C15" s="15" t="s">
        <v>2001</v>
      </c>
      <c r="D15" t="s">
        <v>2002</v>
      </c>
      <c r="I15" t="s">
        <v>1982</v>
      </c>
    </row>
    <row r="16" spans="1:9" x14ac:dyDescent="0.25">
      <c r="B16" t="s">
        <v>137</v>
      </c>
      <c r="C16" s="15" t="s">
        <v>2003</v>
      </c>
      <c r="D16" t="s">
        <v>2004</v>
      </c>
    </row>
    <row r="17" spans="1:9" x14ac:dyDescent="0.25">
      <c r="B17" t="s">
        <v>141</v>
      </c>
      <c r="C17" s="15" t="s">
        <v>52</v>
      </c>
    </row>
    <row r="18" spans="1:9" x14ac:dyDescent="0.25">
      <c r="B18" t="s">
        <v>142</v>
      </c>
      <c r="C18" s="15" t="s">
        <v>2005</v>
      </c>
    </row>
    <row r="19" spans="1:9" x14ac:dyDescent="0.25">
      <c r="B19" t="s">
        <v>139</v>
      </c>
      <c r="C19" s="15" t="s">
        <v>50</v>
      </c>
      <c r="D19" t="s">
        <v>2006</v>
      </c>
    </row>
    <row r="20" spans="1:9" x14ac:dyDescent="0.25">
      <c r="B20" t="s">
        <v>143</v>
      </c>
      <c r="C20" s="15" t="s">
        <v>2007</v>
      </c>
      <c r="D20" t="s">
        <v>2008</v>
      </c>
    </row>
    <row r="21" spans="1:9" x14ac:dyDescent="0.25">
      <c r="A21" s="4" t="s">
        <v>2009</v>
      </c>
    </row>
    <row r="22" spans="1:9" x14ac:dyDescent="0.25">
      <c r="A22" s="4"/>
      <c r="B22" t="s">
        <v>115</v>
      </c>
      <c r="C22" s="15" t="s">
        <v>26</v>
      </c>
      <c r="D22" s="18" t="s">
        <v>2010</v>
      </c>
      <c r="I22" t="s">
        <v>2011</v>
      </c>
    </row>
    <row r="23" spans="1:9" x14ac:dyDescent="0.25">
      <c r="A23" s="4"/>
      <c r="B23" t="s">
        <v>116</v>
      </c>
      <c r="C23" s="15" t="s">
        <v>27</v>
      </c>
      <c r="D23" s="18" t="s">
        <v>2010</v>
      </c>
      <c r="I23" t="s">
        <v>2011</v>
      </c>
    </row>
    <row r="24" spans="1:9" x14ac:dyDescent="0.25">
      <c r="A24" s="4"/>
      <c r="B24" t="s">
        <v>117</v>
      </c>
      <c r="C24" s="15" t="s">
        <v>28</v>
      </c>
      <c r="D24" s="18" t="s">
        <v>2010</v>
      </c>
      <c r="I24" t="s">
        <v>2011</v>
      </c>
    </row>
    <row r="25" spans="1:9" x14ac:dyDescent="0.25">
      <c r="A25" s="4"/>
      <c r="B25" s="18" t="s">
        <v>118</v>
      </c>
      <c r="C25" s="18" t="s">
        <v>29</v>
      </c>
      <c r="D25" s="18" t="s">
        <v>2010</v>
      </c>
      <c r="I25" t="s">
        <v>2011</v>
      </c>
    </row>
    <row r="26" spans="1:9" x14ac:dyDescent="0.25">
      <c r="A26" s="4"/>
      <c r="B26" s="18" t="s">
        <v>119</v>
      </c>
      <c r="C26" s="18" t="s">
        <v>30</v>
      </c>
      <c r="D26" s="18" t="s">
        <v>2010</v>
      </c>
      <c r="I26" t="s">
        <v>2011</v>
      </c>
    </row>
    <row r="27" spans="1:9" x14ac:dyDescent="0.25">
      <c r="A27" s="4"/>
      <c r="B27" s="18" t="s">
        <v>121</v>
      </c>
      <c r="C27" s="18" t="s">
        <v>32</v>
      </c>
      <c r="D27" s="18"/>
      <c r="I27" t="s">
        <v>1236</v>
      </c>
    </row>
    <row r="28" spans="1:9" x14ac:dyDescent="0.25">
      <c r="A28" s="4"/>
      <c r="B28" s="18" t="s">
        <v>122</v>
      </c>
      <c r="C28" s="18" t="s">
        <v>33</v>
      </c>
      <c r="D28" s="18"/>
      <c r="I28" t="s">
        <v>1236</v>
      </c>
    </row>
    <row r="29" spans="1:9" x14ac:dyDescent="0.25">
      <c r="A29" s="4"/>
      <c r="B29" s="18" t="s">
        <v>108</v>
      </c>
      <c r="C29" s="18" t="s">
        <v>19</v>
      </c>
      <c r="I29" t="s">
        <v>1236</v>
      </c>
    </row>
    <row r="30" spans="1:9" x14ac:dyDescent="0.25">
      <c r="A30" s="4"/>
      <c r="B30" s="18" t="s">
        <v>109</v>
      </c>
      <c r="C30" s="18" t="s">
        <v>20</v>
      </c>
      <c r="I30" t="s">
        <v>1236</v>
      </c>
    </row>
    <row r="31" spans="1:9" x14ac:dyDescent="0.25">
      <c r="A31" s="4"/>
      <c r="B31" s="18" t="s">
        <v>111</v>
      </c>
      <c r="C31" s="18" t="s">
        <v>22</v>
      </c>
      <c r="I31" t="s">
        <v>1236</v>
      </c>
    </row>
    <row r="32" spans="1:9" x14ac:dyDescent="0.25">
      <c r="A32" s="4"/>
      <c r="B32" s="18" t="s">
        <v>112</v>
      </c>
      <c r="C32" s="18" t="s">
        <v>23</v>
      </c>
      <c r="I32" t="s">
        <v>1236</v>
      </c>
    </row>
    <row r="33" spans="1:9" x14ac:dyDescent="0.25">
      <c r="B33" t="s">
        <v>132</v>
      </c>
      <c r="C33" s="15" t="s">
        <v>43</v>
      </c>
      <c r="F33" t="s">
        <v>2012</v>
      </c>
      <c r="I33" t="s">
        <v>1236</v>
      </c>
    </row>
    <row r="34" spans="1:9" x14ac:dyDescent="0.25">
      <c r="B34" t="s">
        <v>133</v>
      </c>
      <c r="C34" s="15" t="s">
        <v>44</v>
      </c>
      <c r="F34" t="s">
        <v>133</v>
      </c>
      <c r="I34" t="s">
        <v>1236</v>
      </c>
    </row>
    <row r="35" spans="1:9" x14ac:dyDescent="0.25">
      <c r="B35" t="s">
        <v>134</v>
      </c>
      <c r="C35" s="15" t="s">
        <v>45</v>
      </c>
      <c r="F35" t="s">
        <v>2013</v>
      </c>
      <c r="I35" t="s">
        <v>1236</v>
      </c>
    </row>
    <row r="36" spans="1:9" x14ac:dyDescent="0.25">
      <c r="B36" t="s">
        <v>135</v>
      </c>
      <c r="C36" s="15" t="s">
        <v>46</v>
      </c>
      <c r="F36" t="s">
        <v>2014</v>
      </c>
      <c r="I36" t="s">
        <v>1236</v>
      </c>
    </row>
    <row r="37" spans="1:9" x14ac:dyDescent="0.25">
      <c r="B37" s="18" t="s">
        <v>129</v>
      </c>
      <c r="C37" s="18" t="s">
        <v>40</v>
      </c>
      <c r="I37" t="s">
        <v>2011</v>
      </c>
    </row>
    <row r="38" spans="1:9" x14ac:dyDescent="0.25">
      <c r="B38" s="18" t="s">
        <v>130</v>
      </c>
      <c r="C38" s="18" t="s">
        <v>41</v>
      </c>
      <c r="I38" t="s">
        <v>2011</v>
      </c>
    </row>
    <row r="39" spans="1:9" x14ac:dyDescent="0.25">
      <c r="B39" t="s">
        <v>126</v>
      </c>
      <c r="C39" s="15" t="s">
        <v>37</v>
      </c>
      <c r="I39" t="s">
        <v>1236</v>
      </c>
    </row>
    <row r="40" spans="1:9" x14ac:dyDescent="0.25">
      <c r="B40" t="s">
        <v>127</v>
      </c>
      <c r="C40" s="15" t="s">
        <v>38</v>
      </c>
      <c r="I40" t="s">
        <v>1236</v>
      </c>
    </row>
    <row r="41" spans="1:9" x14ac:dyDescent="0.25">
      <c r="A41" s="4" t="s">
        <v>2015</v>
      </c>
    </row>
    <row r="42" spans="1:9" x14ac:dyDescent="0.25">
      <c r="B42" t="s">
        <v>125</v>
      </c>
      <c r="C42" s="15" t="s">
        <v>2016</v>
      </c>
      <c r="D42" s="11" t="s">
        <v>2017</v>
      </c>
    </row>
    <row r="43" spans="1:9" x14ac:dyDescent="0.25">
      <c r="B43" t="s">
        <v>138</v>
      </c>
      <c r="C43" s="15" t="s">
        <v>2018</v>
      </c>
      <c r="D43" s="11" t="s">
        <v>2019</v>
      </c>
    </row>
    <row r="44" spans="1:9" x14ac:dyDescent="0.25">
      <c r="B44" t="s">
        <v>140</v>
      </c>
      <c r="C44" s="15" t="s">
        <v>2020</v>
      </c>
      <c r="D44" s="11" t="s">
        <v>2021</v>
      </c>
    </row>
    <row r="45" spans="1:9" x14ac:dyDescent="0.25">
      <c r="A45" s="7"/>
      <c r="B45" s="7" t="s">
        <v>10</v>
      </c>
      <c r="C45" s="23" t="s">
        <v>2022</v>
      </c>
      <c r="D45" s="8"/>
    </row>
    <row r="46" spans="1:9" x14ac:dyDescent="0.25">
      <c r="D46" s="9"/>
    </row>
    <row r="47" spans="1:9" x14ac:dyDescent="0.25">
      <c r="A47" s="4" t="s">
        <v>2023</v>
      </c>
    </row>
    <row r="48" spans="1:9" x14ac:dyDescent="0.25">
      <c r="B48" t="s">
        <v>125</v>
      </c>
      <c r="C48" s="15" t="s">
        <v>2024</v>
      </c>
    </row>
    <row r="49" spans="1:3" x14ac:dyDescent="0.25">
      <c r="B49" t="s">
        <v>141</v>
      </c>
      <c r="C49" s="15" t="s">
        <v>2025</v>
      </c>
    </row>
    <row r="50" spans="1:3" x14ac:dyDescent="0.25">
      <c r="B50" t="s">
        <v>168</v>
      </c>
      <c r="C50" s="15" t="s">
        <v>2026</v>
      </c>
    </row>
    <row r="51" spans="1:3" x14ac:dyDescent="0.25">
      <c r="B51" t="s">
        <v>143</v>
      </c>
      <c r="C51" s="15" t="s">
        <v>2027</v>
      </c>
    </row>
    <row r="52" spans="1:3" x14ac:dyDescent="0.25">
      <c r="B52" s="27" t="s">
        <v>155</v>
      </c>
      <c r="C52" s="64" t="s">
        <v>66</v>
      </c>
    </row>
    <row r="53" spans="1:3" x14ac:dyDescent="0.25">
      <c r="B53" s="27" t="s">
        <v>156</v>
      </c>
      <c r="C53" s="64" t="s">
        <v>67</v>
      </c>
    </row>
    <row r="54" spans="1:3" x14ac:dyDescent="0.25">
      <c r="B54" t="s">
        <v>169</v>
      </c>
      <c r="C54" s="15" t="s">
        <v>2028</v>
      </c>
    </row>
    <row r="55" spans="1:3" x14ac:dyDescent="0.25">
      <c r="B55" t="s">
        <v>2029</v>
      </c>
      <c r="C55" s="15" t="s">
        <v>2030</v>
      </c>
    </row>
    <row r="56" spans="1:3" x14ac:dyDescent="0.25">
      <c r="B56" t="s">
        <v>1976</v>
      </c>
      <c r="C56" s="15" t="s">
        <v>2031</v>
      </c>
    </row>
    <row r="57" spans="1:3" x14ac:dyDescent="0.25">
      <c r="A57" s="4" t="s">
        <v>2032</v>
      </c>
    </row>
    <row r="58" spans="1:3" x14ac:dyDescent="0.25">
      <c r="B58" t="s">
        <v>140</v>
      </c>
      <c r="C58" s="15" t="s">
        <v>2033</v>
      </c>
    </row>
    <row r="59" spans="1:3" x14ac:dyDescent="0.25">
      <c r="B59" t="s">
        <v>123</v>
      </c>
      <c r="C59" s="15" t="s">
        <v>2034</v>
      </c>
    </row>
    <row r="60" spans="1:3" x14ac:dyDescent="0.25">
      <c r="A60" s="4" t="s">
        <v>2035</v>
      </c>
    </row>
    <row r="61" spans="1:3" x14ac:dyDescent="0.25">
      <c r="B61" s="12" t="s">
        <v>180</v>
      </c>
      <c r="C61" s="24" t="s">
        <v>91</v>
      </c>
    </row>
    <row r="62" spans="1:3" x14ac:dyDescent="0.25">
      <c r="B62" s="12" t="s">
        <v>181</v>
      </c>
      <c r="C62" s="24" t="s">
        <v>92</v>
      </c>
    </row>
    <row r="63" spans="1:3" x14ac:dyDescent="0.25">
      <c r="B63" s="12" t="s">
        <v>182</v>
      </c>
      <c r="C63" s="24" t="s">
        <v>93</v>
      </c>
    </row>
    <row r="64" spans="1:3" x14ac:dyDescent="0.25">
      <c r="B64" s="12" t="s">
        <v>183</v>
      </c>
      <c r="C64" s="24" t="s">
        <v>94</v>
      </c>
    </row>
    <row r="65" spans="1:4" x14ac:dyDescent="0.25">
      <c r="A65" s="4"/>
      <c r="B65" s="12" t="s">
        <v>184</v>
      </c>
      <c r="C65" s="15" t="s">
        <v>95</v>
      </c>
    </row>
    <row r="66" spans="1:4" x14ac:dyDescent="0.25">
      <c r="A66" s="4" t="s">
        <v>2036</v>
      </c>
      <c r="C66" s="24"/>
    </row>
    <row r="67" spans="1:4" x14ac:dyDescent="0.25">
      <c r="B67" s="12" t="s">
        <v>185</v>
      </c>
      <c r="C67" s="15" t="s">
        <v>96</v>
      </c>
      <c r="D67" t="s">
        <v>2037</v>
      </c>
    </row>
    <row r="68" spans="1:4" x14ac:dyDescent="0.25">
      <c r="B68" s="12" t="s">
        <v>186</v>
      </c>
      <c r="C68" s="24" t="s">
        <v>97</v>
      </c>
      <c r="D68" s="18"/>
    </row>
    <row r="69" spans="1:4" x14ac:dyDescent="0.25">
      <c r="B69" s="12" t="s">
        <v>187</v>
      </c>
      <c r="C69" s="24" t="s">
        <v>98</v>
      </c>
    </row>
    <row r="70" spans="1:4" x14ac:dyDescent="0.25">
      <c r="B70" s="12" t="s">
        <v>188</v>
      </c>
      <c r="C70" s="24" t="s">
        <v>99</v>
      </c>
      <c r="D70" s="18"/>
    </row>
    <row r="71" spans="1:4" x14ac:dyDescent="0.25">
      <c r="C71" s="24"/>
      <c r="D71" s="18"/>
    </row>
    <row r="72" spans="1:4" x14ac:dyDescent="0.25">
      <c r="A72" s="44" t="s">
        <v>2038</v>
      </c>
      <c r="B72" s="45"/>
      <c r="C72" s="46"/>
    </row>
    <row r="73" spans="1:4" x14ac:dyDescent="0.25">
      <c r="A73" s="45"/>
      <c r="B73" s="47" t="s">
        <v>189</v>
      </c>
      <c r="C73" s="46" t="s">
        <v>2039</v>
      </c>
      <c r="D73" s="18"/>
    </row>
    <row r="75" spans="1:4" x14ac:dyDescent="0.25">
      <c r="A75" s="4" t="s">
        <v>2040</v>
      </c>
    </row>
    <row r="76" spans="1:4" x14ac:dyDescent="0.25">
      <c r="B76" t="s">
        <v>171</v>
      </c>
      <c r="C76" t="s">
        <v>82</v>
      </c>
    </row>
    <row r="77" spans="1:4" x14ac:dyDescent="0.25">
      <c r="B77" t="s">
        <v>172</v>
      </c>
      <c r="C77" t="s">
        <v>83</v>
      </c>
    </row>
    <row r="78" spans="1:4" x14ac:dyDescent="0.25">
      <c r="B78" t="s">
        <v>173</v>
      </c>
      <c r="C78" t="s">
        <v>84</v>
      </c>
    </row>
    <row r="79" spans="1:4" x14ac:dyDescent="0.25">
      <c r="B79" t="s">
        <v>174</v>
      </c>
      <c r="C79" t="s">
        <v>85</v>
      </c>
    </row>
    <row r="80" spans="1:4" x14ac:dyDescent="0.25">
      <c r="B80" t="s">
        <v>175</v>
      </c>
      <c r="C80" t="s">
        <v>86</v>
      </c>
    </row>
    <row r="81" spans="2:3" x14ac:dyDescent="0.25">
      <c r="B81" t="s">
        <v>176</v>
      </c>
      <c r="C81" t="s">
        <v>87</v>
      </c>
    </row>
    <row r="82" spans="2:3" x14ac:dyDescent="0.25">
      <c r="B82" t="s">
        <v>177</v>
      </c>
      <c r="C82" t="s">
        <v>88</v>
      </c>
    </row>
    <row r="83" spans="2:3" x14ac:dyDescent="0.25">
      <c r="B83" t="s">
        <v>178</v>
      </c>
      <c r="C83" t="s">
        <v>89</v>
      </c>
    </row>
    <row r="84" spans="2:3" x14ac:dyDescent="0.25">
      <c r="B84" t="s">
        <v>179</v>
      </c>
      <c r="C84" t="s">
        <v>90</v>
      </c>
    </row>
    <row r="85" spans="2:3" x14ac:dyDescent="0.25">
      <c r="C85"/>
    </row>
    <row r="86" spans="2:3" x14ac:dyDescent="0.25">
      <c r="C86"/>
    </row>
  </sheetData>
  <pageMargins left="0.7" right="0.7" top="0.75" bottom="0.75" header="0.3" footer="0.3"/>
  <pageSetup paperSize="8" orientation="landscape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B1:S165"/>
  <sheetViews>
    <sheetView workbookViewId="0">
      <selection activeCell="W24" sqref="W24"/>
    </sheetView>
  </sheetViews>
  <sheetFormatPr defaultColWidth="8.85546875" defaultRowHeight="15" customHeight="1" x14ac:dyDescent="0.25"/>
  <cols>
    <col min="1" max="1" width="2.28515625" customWidth="1"/>
    <col min="2" max="2" width="19.42578125" customWidth="1"/>
    <col min="3" max="3" width="10.42578125" customWidth="1"/>
    <col min="4" max="4" width="8.85546875" customWidth="1"/>
    <col min="5" max="5" width="8.42578125" customWidth="1"/>
    <col min="6" max="6" width="9.42578125" customWidth="1"/>
    <col min="7" max="7" width="9.140625" customWidth="1"/>
    <col min="8" max="8" width="8.42578125" customWidth="1"/>
    <col min="9" max="9" width="14.42578125" customWidth="1"/>
    <col min="10" max="10" width="11.7109375" customWidth="1"/>
    <col min="11" max="11" width="11.140625" customWidth="1"/>
    <col min="12" max="12" width="12" customWidth="1"/>
    <col min="13" max="13" width="12.42578125" customWidth="1"/>
    <col min="14" max="14" width="12.85546875" customWidth="1"/>
    <col min="15" max="15" width="12.85546875" style="15" customWidth="1"/>
    <col min="16" max="16" width="11.42578125" customWidth="1"/>
    <col min="17" max="18" width="8.85546875" customWidth="1"/>
  </cols>
  <sheetData>
    <row r="1" spans="2:19" x14ac:dyDescent="0.25">
      <c r="B1" t="s">
        <v>2041</v>
      </c>
    </row>
    <row r="2" spans="2:19" x14ac:dyDescent="0.25">
      <c r="D2" t="s">
        <v>2042</v>
      </c>
    </row>
    <row r="4" spans="2:19" ht="29.25" customHeight="1" x14ac:dyDescent="0.25">
      <c r="F4" s="76" t="s">
        <v>2043</v>
      </c>
      <c r="G4" s="76"/>
      <c r="H4" s="76"/>
      <c r="I4" s="76"/>
      <c r="J4" s="76"/>
      <c r="K4" s="76"/>
      <c r="L4" s="76"/>
      <c r="M4" s="10"/>
      <c r="N4" s="10"/>
      <c r="O4" s="57"/>
    </row>
    <row r="5" spans="2:19" ht="45" x14ac:dyDescent="0.25">
      <c r="B5" s="1" t="s">
        <v>2044</v>
      </c>
      <c r="C5" s="1" t="s">
        <v>2045</v>
      </c>
      <c r="D5" s="1" t="s">
        <v>2046</v>
      </c>
      <c r="E5" s="1" t="s">
        <v>2047</v>
      </c>
      <c r="F5" s="1" t="s">
        <v>2048</v>
      </c>
      <c r="G5" s="1" t="s">
        <v>2049</v>
      </c>
      <c r="H5" s="1" t="s">
        <v>2050</v>
      </c>
      <c r="I5" s="1" t="s">
        <v>103</v>
      </c>
      <c r="J5" s="1" t="s">
        <v>102</v>
      </c>
      <c r="K5" s="1" t="s">
        <v>101</v>
      </c>
      <c r="L5" s="1" t="s">
        <v>2051</v>
      </c>
      <c r="M5" s="1" t="s">
        <v>100</v>
      </c>
      <c r="N5" s="1" t="s">
        <v>2052</v>
      </c>
      <c r="O5" s="59" t="s">
        <v>104</v>
      </c>
      <c r="P5" s="52" t="s">
        <v>107</v>
      </c>
      <c r="Q5" s="1" t="s">
        <v>2053</v>
      </c>
      <c r="R5" s="1" t="s">
        <v>2054</v>
      </c>
      <c r="S5" s="1" t="s">
        <v>2055</v>
      </c>
    </row>
    <row r="6" spans="2:19" x14ac:dyDescent="0.25">
      <c r="B6" t="s">
        <v>2056</v>
      </c>
      <c r="C6" t="s">
        <v>105</v>
      </c>
      <c r="D6" s="19">
        <v>1</v>
      </c>
      <c r="E6" s="19">
        <v>0.12463542931527948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s="28" t="s">
        <v>2057</v>
      </c>
      <c r="O6" s="34" t="s">
        <v>105</v>
      </c>
      <c r="P6" s="51" t="s">
        <v>107</v>
      </c>
      <c r="Q6" t="s">
        <v>107</v>
      </c>
    </row>
    <row r="7" spans="2:19" x14ac:dyDescent="0.25">
      <c r="B7" t="s">
        <v>17</v>
      </c>
      <c r="C7" t="s">
        <v>106</v>
      </c>
      <c r="D7" s="19">
        <v>1</v>
      </c>
      <c r="E7" s="19">
        <v>0.1665906336576683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s="38" t="s">
        <v>2057</v>
      </c>
      <c r="O7" s="15" t="s">
        <v>106</v>
      </c>
      <c r="P7" s="51" t="s">
        <v>107</v>
      </c>
      <c r="Q7" t="s">
        <v>107</v>
      </c>
    </row>
    <row r="8" spans="2:19" x14ac:dyDescent="0.25">
      <c r="B8" t="s">
        <v>19</v>
      </c>
      <c r="C8" t="s">
        <v>107</v>
      </c>
      <c r="D8" s="19">
        <v>0.51810527028577624</v>
      </c>
      <c r="E8" s="19">
        <v>0.12646508384427399</v>
      </c>
      <c r="I8" t="s">
        <v>107</v>
      </c>
      <c r="J8" t="s">
        <v>107</v>
      </c>
      <c r="K8" t="s">
        <v>107</v>
      </c>
      <c r="L8" t="s">
        <v>107</v>
      </c>
      <c r="M8" s="53" t="s">
        <v>108</v>
      </c>
      <c r="N8" s="28" t="s">
        <v>2057</v>
      </c>
      <c r="O8" s="58" t="s">
        <v>108</v>
      </c>
      <c r="P8" s="51" t="s">
        <v>107</v>
      </c>
      <c r="Q8" t="s">
        <v>107</v>
      </c>
    </row>
    <row r="9" spans="2:19" x14ac:dyDescent="0.25">
      <c r="B9" t="s">
        <v>2058</v>
      </c>
      <c r="C9" t="s">
        <v>107</v>
      </c>
      <c r="D9" s="19">
        <v>0.1495372752073387</v>
      </c>
      <c r="E9" s="19">
        <v>3.6500775289371845E-2</v>
      </c>
      <c r="I9" t="s">
        <v>107</v>
      </c>
      <c r="J9" t="s">
        <v>107</v>
      </c>
      <c r="K9" t="s">
        <v>107</v>
      </c>
      <c r="L9" t="s">
        <v>107</v>
      </c>
      <c r="M9" s="54" t="s">
        <v>109</v>
      </c>
      <c r="N9" s="28" t="s">
        <v>2057</v>
      </c>
      <c r="O9" s="34" t="s">
        <v>109</v>
      </c>
      <c r="P9" s="51"/>
    </row>
    <row r="10" spans="2:19" x14ac:dyDescent="0.25">
      <c r="B10" t="s">
        <v>2059</v>
      </c>
      <c r="C10" t="s">
        <v>107</v>
      </c>
      <c r="D10" s="19">
        <v>0.13330185167884298</v>
      </c>
      <c r="E10" s="19">
        <v>3.2537846680971469E-2</v>
      </c>
      <c r="I10" t="s">
        <v>107</v>
      </c>
      <c r="J10" t="s">
        <v>107</v>
      </c>
      <c r="K10" t="s">
        <v>107</v>
      </c>
      <c r="L10" t="s">
        <v>107</v>
      </c>
      <c r="M10" s="53" t="s">
        <v>109</v>
      </c>
      <c r="N10" s="28" t="s">
        <v>2057</v>
      </c>
      <c r="O10" s="58" t="s">
        <v>109</v>
      </c>
      <c r="P10" s="51"/>
    </row>
    <row r="11" spans="2:19" x14ac:dyDescent="0.25">
      <c r="B11" t="s">
        <v>2060</v>
      </c>
      <c r="C11" t="s">
        <v>107</v>
      </c>
      <c r="D11" s="19">
        <v>0.11442755171565572</v>
      </c>
      <c r="E11" s="19">
        <v>2.7930790809816423E-2</v>
      </c>
      <c r="I11" t="s">
        <v>107</v>
      </c>
      <c r="J11" t="s">
        <v>107</v>
      </c>
      <c r="K11" t="s">
        <v>107</v>
      </c>
      <c r="L11" t="s">
        <v>107</v>
      </c>
      <c r="M11" s="54" t="s">
        <v>109</v>
      </c>
      <c r="N11" s="28" t="s">
        <v>2057</v>
      </c>
      <c r="O11" s="58" t="s">
        <v>109</v>
      </c>
      <c r="P11" s="51"/>
    </row>
    <row r="12" spans="2:19" x14ac:dyDescent="0.25">
      <c r="B12" t="s">
        <v>2061</v>
      </c>
      <c r="C12" t="s">
        <v>107</v>
      </c>
      <c r="D12" s="19">
        <v>2.8732142749745462E-2</v>
      </c>
      <c r="E12" s="19">
        <v>7.0132713374407218E-3</v>
      </c>
      <c r="I12" t="s">
        <v>107</v>
      </c>
      <c r="J12" t="s">
        <v>107</v>
      </c>
      <c r="L12" t="s">
        <v>107</v>
      </c>
      <c r="M12" s="53" t="s">
        <v>109</v>
      </c>
      <c r="N12" s="28" t="s">
        <v>2057</v>
      </c>
      <c r="O12" s="58" t="s">
        <v>109</v>
      </c>
      <c r="P12" s="51"/>
    </row>
    <row r="13" spans="2:19" x14ac:dyDescent="0.25">
      <c r="B13" t="s">
        <v>2062</v>
      </c>
      <c r="C13" t="s">
        <v>107</v>
      </c>
      <c r="D13" s="19">
        <v>1.5875845089211596E-2</v>
      </c>
      <c r="E13" s="19">
        <v>3.8751585738520358E-3</v>
      </c>
      <c r="I13" t="s">
        <v>107</v>
      </c>
      <c r="J13" t="s">
        <v>107</v>
      </c>
      <c r="L13" t="s">
        <v>107</v>
      </c>
      <c r="M13" s="54" t="s">
        <v>109</v>
      </c>
      <c r="N13" s="28" t="s">
        <v>2057</v>
      </c>
      <c r="O13" s="58" t="s">
        <v>109</v>
      </c>
      <c r="P13" s="51"/>
    </row>
    <row r="14" spans="2:19" x14ac:dyDescent="0.25">
      <c r="B14" t="s">
        <v>2063</v>
      </c>
      <c r="C14" t="s">
        <v>107</v>
      </c>
      <c r="D14" s="19">
        <v>1.4345930102604784E-2</v>
      </c>
      <c r="E14" s="19">
        <v>3.5017193557002457E-3</v>
      </c>
      <c r="I14" t="s">
        <v>107</v>
      </c>
      <c r="J14" t="s">
        <v>107</v>
      </c>
      <c r="L14" t="s">
        <v>107</v>
      </c>
      <c r="M14" s="53" t="s">
        <v>109</v>
      </c>
      <c r="N14" s="28" t="s">
        <v>2057</v>
      </c>
      <c r="O14" s="58" t="s">
        <v>109</v>
      </c>
      <c r="P14" s="51"/>
    </row>
    <row r="15" spans="2:19" x14ac:dyDescent="0.25">
      <c r="B15" t="s">
        <v>2064</v>
      </c>
      <c r="C15" t="s">
        <v>107</v>
      </c>
      <c r="D15" s="19">
        <v>1.2640217490091105E-2</v>
      </c>
      <c r="E15" s="19">
        <v>3.0853694343091829E-3</v>
      </c>
      <c r="I15" t="s">
        <v>107</v>
      </c>
      <c r="J15" t="s">
        <v>107</v>
      </c>
      <c r="L15" t="s">
        <v>107</v>
      </c>
      <c r="M15" s="54" t="s">
        <v>109</v>
      </c>
      <c r="N15" s="28" t="s">
        <v>2057</v>
      </c>
      <c r="O15" s="58" t="s">
        <v>109</v>
      </c>
      <c r="P15" s="51"/>
    </row>
    <row r="16" spans="2:19" x14ac:dyDescent="0.25">
      <c r="B16" t="s">
        <v>2065</v>
      </c>
      <c r="C16" t="s">
        <v>107</v>
      </c>
      <c r="D16" s="19">
        <v>6.0383837658349445E-3</v>
      </c>
      <c r="E16" s="19">
        <v>1.4739180491428108E-3</v>
      </c>
      <c r="I16" t="s">
        <v>107</v>
      </c>
      <c r="J16" t="s">
        <v>107</v>
      </c>
      <c r="L16" t="s">
        <v>107</v>
      </c>
      <c r="M16" s="53" t="s">
        <v>109</v>
      </c>
      <c r="N16" s="28" t="s">
        <v>2057</v>
      </c>
      <c r="O16" s="58"/>
      <c r="P16" s="51"/>
    </row>
    <row r="17" spans="2:16" x14ac:dyDescent="0.25">
      <c r="B17" t="s">
        <v>2066</v>
      </c>
      <c r="C17" t="s">
        <v>107</v>
      </c>
      <c r="D17" s="19">
        <v>3.991789680416729E-3</v>
      </c>
      <c r="E17" s="19">
        <v>9.7436186345713173E-4</v>
      </c>
      <c r="I17" t="s">
        <v>107</v>
      </c>
      <c r="J17" t="s">
        <v>107</v>
      </c>
      <c r="L17" t="s">
        <v>107</v>
      </c>
      <c r="M17" s="54" t="s">
        <v>109</v>
      </c>
      <c r="N17" s="28" t="s">
        <v>2057</v>
      </c>
      <c r="O17" s="58"/>
      <c r="P17" s="51"/>
    </row>
    <row r="18" spans="2:16" x14ac:dyDescent="0.25">
      <c r="B18" t="s">
        <v>2067</v>
      </c>
      <c r="C18" t="s">
        <v>107</v>
      </c>
      <c r="D18" s="19">
        <v>1.8402321657559264E-3</v>
      </c>
      <c r="E18" s="19">
        <v>4.491849986526618E-4</v>
      </c>
      <c r="I18" t="s">
        <v>107</v>
      </c>
      <c r="J18" t="s">
        <v>107</v>
      </c>
      <c r="L18" t="s">
        <v>107</v>
      </c>
      <c r="M18" s="53" t="s">
        <v>109</v>
      </c>
      <c r="N18" s="28" t="s">
        <v>2057</v>
      </c>
      <c r="O18" s="58"/>
      <c r="P18" s="51"/>
    </row>
    <row r="19" spans="2:16" x14ac:dyDescent="0.25">
      <c r="B19" t="s">
        <v>2068</v>
      </c>
      <c r="C19" t="s">
        <v>107</v>
      </c>
      <c r="D19" s="19">
        <v>8.6060720383053177E-4</v>
      </c>
      <c r="E19" s="19">
        <v>2.1006688877992378E-4</v>
      </c>
      <c r="I19" t="s">
        <v>107</v>
      </c>
      <c r="J19" t="s">
        <v>107</v>
      </c>
      <c r="L19" t="s">
        <v>107</v>
      </c>
      <c r="M19" s="54" t="s">
        <v>109</v>
      </c>
      <c r="N19" s="28" t="s">
        <v>2057</v>
      </c>
      <c r="O19" s="58"/>
      <c r="P19" s="51"/>
    </row>
    <row r="20" spans="2:16" x14ac:dyDescent="0.25">
      <c r="B20" t="s">
        <v>2069</v>
      </c>
      <c r="C20" t="s">
        <v>107</v>
      </c>
      <c r="D20" s="19">
        <v>3.0290286489513627E-4</v>
      </c>
      <c r="E20" s="19">
        <v>7.3936009538187262E-5</v>
      </c>
      <c r="I20" t="s">
        <v>107</v>
      </c>
      <c r="J20" t="s">
        <v>107</v>
      </c>
      <c r="L20" t="s">
        <v>107</v>
      </c>
      <c r="M20" s="53" t="s">
        <v>109</v>
      </c>
      <c r="N20" s="28" t="s">
        <v>2057</v>
      </c>
      <c r="O20" s="58"/>
      <c r="P20" s="51"/>
    </row>
    <row r="21" spans="2:16" x14ac:dyDescent="0.25">
      <c r="B21" t="s">
        <v>2070</v>
      </c>
      <c r="C21" t="s">
        <v>124</v>
      </c>
      <c r="D21" s="19">
        <v>0.29541607644752443</v>
      </c>
      <c r="E21" s="19">
        <v>8.1150068252510994E-3</v>
      </c>
      <c r="I21" t="s">
        <v>124</v>
      </c>
      <c r="J21" t="s">
        <v>124</v>
      </c>
      <c r="L21" t="s">
        <v>124</v>
      </c>
      <c r="M21" s="28" t="s">
        <v>124</v>
      </c>
      <c r="N21" s="28" t="s">
        <v>2071</v>
      </c>
      <c r="O21" s="34"/>
      <c r="P21" s="51"/>
    </row>
    <row r="22" spans="2:16" x14ac:dyDescent="0.25">
      <c r="B22" t="s">
        <v>2072</v>
      </c>
      <c r="C22" t="s">
        <v>124</v>
      </c>
      <c r="D22" s="19">
        <v>0.27016924874699338</v>
      </c>
      <c r="E22" s="19">
        <v>7.4214826894983136E-3</v>
      </c>
      <c r="I22" t="s">
        <v>124</v>
      </c>
      <c r="J22" t="s">
        <v>124</v>
      </c>
      <c r="L22" t="s">
        <v>124</v>
      </c>
      <c r="M22" s="55" t="s">
        <v>124</v>
      </c>
      <c r="N22" s="28" t="s">
        <v>2071</v>
      </c>
      <c r="O22" s="34"/>
      <c r="P22" s="51"/>
    </row>
    <row r="23" spans="2:16" x14ac:dyDescent="0.25">
      <c r="B23" t="s">
        <v>2073</v>
      </c>
      <c r="C23" t="s">
        <v>124</v>
      </c>
      <c r="D23" s="19">
        <v>0.11090779455467782</v>
      </c>
      <c r="E23" s="19">
        <v>3.0466097871441663E-3</v>
      </c>
      <c r="I23" t="s">
        <v>124</v>
      </c>
      <c r="J23" t="s">
        <v>124</v>
      </c>
      <c r="L23" t="s">
        <v>124</v>
      </c>
      <c r="M23" s="28" t="s">
        <v>124</v>
      </c>
      <c r="N23" s="28" t="s">
        <v>2057</v>
      </c>
      <c r="O23" s="34"/>
      <c r="P23" s="51"/>
    </row>
    <row r="24" spans="2:16" x14ac:dyDescent="0.25">
      <c r="B24" t="s">
        <v>2074</v>
      </c>
      <c r="C24" t="s">
        <v>124</v>
      </c>
      <c r="D24" s="19">
        <v>8.8325493684185963E-2</v>
      </c>
      <c r="E24" s="19">
        <v>2.4262795468348937E-3</v>
      </c>
      <c r="I24" t="s">
        <v>124</v>
      </c>
      <c r="J24" t="s">
        <v>124</v>
      </c>
      <c r="L24" t="s">
        <v>124</v>
      </c>
      <c r="M24" s="55" t="s">
        <v>124</v>
      </c>
      <c r="N24" s="28" t="s">
        <v>2071</v>
      </c>
      <c r="O24" s="34"/>
      <c r="P24" s="51"/>
    </row>
    <row r="25" spans="2:16" x14ac:dyDescent="0.25">
      <c r="B25" t="s">
        <v>2075</v>
      </c>
      <c r="C25" t="s">
        <v>124</v>
      </c>
      <c r="D25" s="19">
        <v>5.2848877960425061E-2</v>
      </c>
      <c r="E25" s="19">
        <v>1.4517456548506186E-3</v>
      </c>
      <c r="I25" t="s">
        <v>124</v>
      </c>
      <c r="J25" t="s">
        <v>124</v>
      </c>
      <c r="L25" t="s">
        <v>114</v>
      </c>
      <c r="M25" s="28" t="s">
        <v>124</v>
      </c>
      <c r="N25" s="28" t="s">
        <v>2057</v>
      </c>
      <c r="O25" s="34"/>
      <c r="P25" s="51"/>
    </row>
    <row r="26" spans="2:16" x14ac:dyDescent="0.25">
      <c r="B26" t="s">
        <v>2076</v>
      </c>
      <c r="C26" t="s">
        <v>124</v>
      </c>
      <c r="D26" s="19">
        <v>3.3969859655223186E-2</v>
      </c>
      <c r="E26" s="19">
        <v>9.3314367406787128E-4</v>
      </c>
      <c r="I26" t="s">
        <v>124</v>
      </c>
      <c r="J26" t="s">
        <v>114</v>
      </c>
      <c r="L26" t="s">
        <v>124</v>
      </c>
      <c r="M26" s="53" t="s">
        <v>118</v>
      </c>
      <c r="N26" s="28" t="s">
        <v>2057</v>
      </c>
      <c r="O26" s="58" t="s">
        <v>118</v>
      </c>
      <c r="P26" s="51"/>
    </row>
    <row r="27" spans="2:16" x14ac:dyDescent="0.25">
      <c r="B27" t="s">
        <v>2077</v>
      </c>
      <c r="C27" t="s">
        <v>124</v>
      </c>
      <c r="D27" s="19">
        <v>2.7131129312465811E-2</v>
      </c>
      <c r="E27" s="19">
        <v>7.4528543671366332E-4</v>
      </c>
      <c r="I27" t="s">
        <v>124</v>
      </c>
      <c r="J27" t="s">
        <v>124</v>
      </c>
      <c r="L27" t="s">
        <v>124</v>
      </c>
      <c r="M27" s="28" t="s">
        <v>124</v>
      </c>
      <c r="N27" s="28" t="s">
        <v>2071</v>
      </c>
      <c r="O27" s="34"/>
      <c r="P27" s="51"/>
    </row>
    <row r="28" spans="2:16" x14ac:dyDescent="0.25">
      <c r="B28" t="s">
        <v>2078</v>
      </c>
      <c r="C28" t="s">
        <v>124</v>
      </c>
      <c r="D28" s="19">
        <v>2.6696772207458301E-2</v>
      </c>
      <c r="E28" s="19">
        <v>7.3335375407093358E-4</v>
      </c>
      <c r="I28" t="s">
        <v>124</v>
      </c>
      <c r="J28" t="s">
        <v>114</v>
      </c>
      <c r="L28" t="s">
        <v>124</v>
      </c>
      <c r="M28" s="53" t="s">
        <v>119</v>
      </c>
      <c r="N28" s="28" t="s">
        <v>2057</v>
      </c>
      <c r="O28" s="58" t="s">
        <v>119</v>
      </c>
      <c r="P28" s="51"/>
    </row>
    <row r="29" spans="2:16" x14ac:dyDescent="0.25">
      <c r="B29" t="s">
        <v>2079</v>
      </c>
      <c r="C29" t="s">
        <v>124</v>
      </c>
      <c r="D29" s="19">
        <v>2.620810291255718E-2</v>
      </c>
      <c r="E29" s="19">
        <v>7.199301289551297E-4</v>
      </c>
      <c r="I29" t="s">
        <v>124</v>
      </c>
      <c r="J29" t="s">
        <v>124</v>
      </c>
      <c r="L29" t="s">
        <v>124</v>
      </c>
      <c r="M29" s="28" t="s">
        <v>124</v>
      </c>
      <c r="N29" s="28" t="s">
        <v>2071</v>
      </c>
      <c r="O29" s="34"/>
      <c r="P29" s="51"/>
    </row>
    <row r="30" spans="2:16" x14ac:dyDescent="0.25">
      <c r="B30" t="s">
        <v>2080</v>
      </c>
      <c r="C30" t="s">
        <v>124</v>
      </c>
      <c r="D30" s="19">
        <v>1.5869100770146291E-2</v>
      </c>
      <c r="E30" s="19">
        <v>4.3592028778166304E-4</v>
      </c>
      <c r="I30" t="s">
        <v>124</v>
      </c>
      <c r="J30" t="s">
        <v>124</v>
      </c>
      <c r="L30" t="s">
        <v>124</v>
      </c>
      <c r="M30" s="55" t="s">
        <v>124</v>
      </c>
      <c r="N30" s="28" t="s">
        <v>2071</v>
      </c>
      <c r="O30" s="34"/>
      <c r="P30" s="51"/>
    </row>
    <row r="31" spans="2:16" x14ac:dyDescent="0.25">
      <c r="B31" t="s">
        <v>2081</v>
      </c>
      <c r="C31" t="s">
        <v>124</v>
      </c>
      <c r="D31" s="19">
        <v>1.408581309153494E-2</v>
      </c>
      <c r="E31" s="19">
        <v>3.8693381467789514E-4</v>
      </c>
      <c r="I31" t="s">
        <v>124</v>
      </c>
      <c r="J31" t="s">
        <v>114</v>
      </c>
      <c r="L31" t="s">
        <v>124</v>
      </c>
      <c r="M31" s="28" t="s">
        <v>124</v>
      </c>
      <c r="N31" s="28" t="s">
        <v>2057</v>
      </c>
      <c r="O31" s="34"/>
      <c r="P31" s="51"/>
    </row>
    <row r="32" spans="2:16" x14ac:dyDescent="0.25">
      <c r="B32" t="s">
        <v>2082</v>
      </c>
      <c r="C32" t="s">
        <v>124</v>
      </c>
      <c r="D32" s="19">
        <v>1.0927225063564781E-2</v>
      </c>
      <c r="E32" s="19">
        <v>3.0016817987099144E-4</v>
      </c>
      <c r="I32" t="s">
        <v>124</v>
      </c>
      <c r="J32" t="s">
        <v>124</v>
      </c>
      <c r="L32" t="s">
        <v>124</v>
      </c>
      <c r="M32" s="55" t="s">
        <v>124</v>
      </c>
      <c r="N32" s="28" t="s">
        <v>2057</v>
      </c>
      <c r="O32" s="34"/>
      <c r="P32" s="51"/>
    </row>
    <row r="33" spans="2:18" x14ac:dyDescent="0.25">
      <c r="B33" t="s">
        <v>2083</v>
      </c>
      <c r="C33" t="s">
        <v>124</v>
      </c>
      <c r="D33" s="19">
        <v>8.3065355284706668E-3</v>
      </c>
      <c r="E33" s="19">
        <v>2.2817848411748167E-4</v>
      </c>
      <c r="I33" t="s">
        <v>124</v>
      </c>
      <c r="J33" t="s">
        <v>124</v>
      </c>
      <c r="L33" t="s">
        <v>124</v>
      </c>
      <c r="M33" s="28" t="s">
        <v>124</v>
      </c>
      <c r="N33" s="28" t="s">
        <v>2071</v>
      </c>
      <c r="O33" s="34"/>
      <c r="P33" s="51"/>
    </row>
    <row r="34" spans="2:18" x14ac:dyDescent="0.25">
      <c r="B34" t="s">
        <v>2084</v>
      </c>
      <c r="C34" t="s">
        <v>124</v>
      </c>
      <c r="D34" s="19">
        <v>7.5465018638994378E-3</v>
      </c>
      <c r="E34" s="19">
        <v>2.0730054663491642E-4</v>
      </c>
      <c r="I34" t="s">
        <v>124</v>
      </c>
      <c r="J34" t="s">
        <v>124</v>
      </c>
      <c r="L34" t="s">
        <v>124</v>
      </c>
      <c r="M34" s="55" t="s">
        <v>124</v>
      </c>
      <c r="N34" s="28" t="s">
        <v>2071</v>
      </c>
      <c r="O34" s="34"/>
      <c r="P34" s="51"/>
    </row>
    <row r="35" spans="2:18" x14ac:dyDescent="0.25">
      <c r="B35" t="s">
        <v>2085</v>
      </c>
      <c r="C35" t="s">
        <v>124</v>
      </c>
      <c r="D35" s="19">
        <v>6.457505948855722E-3</v>
      </c>
      <c r="E35" s="19">
        <v>1.7738609719289327E-4</v>
      </c>
      <c r="I35" t="s">
        <v>124</v>
      </c>
      <c r="J35" t="s">
        <v>124</v>
      </c>
      <c r="L35" t="s">
        <v>124</v>
      </c>
      <c r="M35" s="28" t="s">
        <v>124</v>
      </c>
      <c r="N35" s="28" t="s">
        <v>2071</v>
      </c>
      <c r="O35" s="34"/>
      <c r="P35" s="51"/>
    </row>
    <row r="36" spans="2:18" x14ac:dyDescent="0.25">
      <c r="B36" t="s">
        <v>2086</v>
      </c>
      <c r="C36" t="s">
        <v>124</v>
      </c>
      <c r="D36" s="19">
        <v>2.4225651815783724E-3</v>
      </c>
      <c r="E36" s="19">
        <v>6.6547268583117428E-5</v>
      </c>
      <c r="I36" t="s">
        <v>124</v>
      </c>
      <c r="J36" t="s">
        <v>124</v>
      </c>
      <c r="L36" t="s">
        <v>124</v>
      </c>
      <c r="M36" s="55" t="s">
        <v>124</v>
      </c>
      <c r="N36" s="28" t="s">
        <v>2071</v>
      </c>
      <c r="O36" s="34"/>
      <c r="P36" s="51"/>
    </row>
    <row r="37" spans="2:18" x14ac:dyDescent="0.25">
      <c r="B37" t="s">
        <v>2087</v>
      </c>
      <c r="C37" t="s">
        <v>124</v>
      </c>
      <c r="D37" s="19">
        <v>2.1767561856431091E-3</v>
      </c>
      <c r="E37" s="19">
        <v>5.9794956035641316E-5</v>
      </c>
      <c r="I37" t="s">
        <v>124</v>
      </c>
      <c r="J37" t="s">
        <v>124</v>
      </c>
      <c r="L37" t="s">
        <v>124</v>
      </c>
      <c r="M37" s="28" t="s">
        <v>124</v>
      </c>
      <c r="N37" s="28" t="s">
        <v>2071</v>
      </c>
      <c r="O37" s="34"/>
      <c r="P37" s="51"/>
      <c r="R37" t="s">
        <v>110</v>
      </c>
    </row>
    <row r="38" spans="2:18" x14ac:dyDescent="0.25">
      <c r="B38" t="s">
        <v>2088</v>
      </c>
      <c r="C38" t="s">
        <v>124</v>
      </c>
      <c r="D38" s="19">
        <v>4.5673911914670667E-4</v>
      </c>
      <c r="E38" s="19">
        <v>1.2546511055883869E-5</v>
      </c>
      <c r="I38" t="s">
        <v>124</v>
      </c>
      <c r="J38" t="s">
        <v>124</v>
      </c>
      <c r="L38" t="s">
        <v>124</v>
      </c>
      <c r="M38" s="55" t="s">
        <v>124</v>
      </c>
      <c r="N38" s="28" t="s">
        <v>2057</v>
      </c>
      <c r="O38" s="34"/>
      <c r="P38" s="51"/>
    </row>
    <row r="39" spans="2:18" x14ac:dyDescent="0.25">
      <c r="B39" t="s">
        <v>2089</v>
      </c>
      <c r="C39" t="s">
        <v>124</v>
      </c>
      <c r="D39" s="19">
        <v>7.7901765648854171E-5</v>
      </c>
      <c r="E39" s="19">
        <v>2.1399423062605664E-6</v>
      </c>
      <c r="I39" t="s">
        <v>124</v>
      </c>
      <c r="J39" t="s">
        <v>124</v>
      </c>
      <c r="L39" t="s">
        <v>124</v>
      </c>
      <c r="M39" s="28" t="s">
        <v>124</v>
      </c>
      <c r="N39" s="28" t="s">
        <v>2057</v>
      </c>
      <c r="O39" s="34"/>
      <c r="P39" s="51"/>
    </row>
    <row r="40" spans="2:18" x14ac:dyDescent="0.25">
      <c r="B40" t="s">
        <v>2090</v>
      </c>
      <c r="C40" t="s">
        <v>110</v>
      </c>
      <c r="D40" s="19">
        <v>0.43341345950328558</v>
      </c>
      <c r="E40" s="19">
        <v>7.9338254547495046E-2</v>
      </c>
      <c r="I40" t="s">
        <v>110</v>
      </c>
      <c r="J40" t="s">
        <v>110</v>
      </c>
      <c r="K40" t="s">
        <v>110</v>
      </c>
      <c r="L40" t="s">
        <v>110</v>
      </c>
      <c r="M40" s="53" t="s">
        <v>111</v>
      </c>
      <c r="N40" s="28" t="s">
        <v>2057</v>
      </c>
      <c r="O40" s="58" t="s">
        <v>111</v>
      </c>
      <c r="P40" s="51"/>
    </row>
    <row r="41" spans="2:18" x14ac:dyDescent="0.25">
      <c r="B41" t="s">
        <v>2091</v>
      </c>
      <c r="C41" t="s">
        <v>110</v>
      </c>
      <c r="D41" s="19">
        <v>0.13583428641377102</v>
      </c>
      <c r="E41" s="19">
        <v>2.486506811330675E-2</v>
      </c>
      <c r="I41" t="s">
        <v>110</v>
      </c>
      <c r="J41" t="s">
        <v>110</v>
      </c>
      <c r="K41" t="s">
        <v>110</v>
      </c>
      <c r="L41" t="s">
        <v>110</v>
      </c>
      <c r="M41" s="54" t="s">
        <v>111</v>
      </c>
      <c r="N41" s="28" t="s">
        <v>2057</v>
      </c>
      <c r="O41" s="34" t="s">
        <v>111</v>
      </c>
      <c r="P41" s="51"/>
    </row>
    <row r="42" spans="2:18" x14ac:dyDescent="0.25">
      <c r="B42" t="s">
        <v>2092</v>
      </c>
      <c r="C42" t="s">
        <v>110</v>
      </c>
      <c r="D42" s="19">
        <v>0.11016879678920616</v>
      </c>
      <c r="E42" s="19">
        <v>2.0166886494181507E-2</v>
      </c>
      <c r="I42" t="s">
        <v>110</v>
      </c>
      <c r="J42" t="s">
        <v>110</v>
      </c>
      <c r="K42" t="s">
        <v>110</v>
      </c>
      <c r="L42" t="s">
        <v>110</v>
      </c>
      <c r="M42" s="53" t="s">
        <v>112</v>
      </c>
      <c r="N42" s="28" t="s">
        <v>2057</v>
      </c>
      <c r="O42" s="34"/>
      <c r="P42" s="51"/>
    </row>
    <row r="43" spans="2:18" x14ac:dyDescent="0.25">
      <c r="B43" t="s">
        <v>2093</v>
      </c>
      <c r="C43" t="s">
        <v>110</v>
      </c>
      <c r="D43" s="19">
        <v>9.7385870167184099E-2</v>
      </c>
      <c r="E43" s="19">
        <v>1.782691512512842E-2</v>
      </c>
      <c r="I43" t="s">
        <v>110</v>
      </c>
      <c r="J43" t="s">
        <v>110</v>
      </c>
      <c r="K43" t="s">
        <v>110</v>
      </c>
      <c r="L43" t="s">
        <v>110</v>
      </c>
      <c r="M43" s="54" t="s">
        <v>111</v>
      </c>
      <c r="N43" s="28" t="s">
        <v>2057</v>
      </c>
      <c r="O43" s="34" t="s">
        <v>111</v>
      </c>
      <c r="P43" s="51"/>
    </row>
    <row r="44" spans="2:18" x14ac:dyDescent="0.25">
      <c r="B44" t="s">
        <v>2094</v>
      </c>
      <c r="C44" t="s">
        <v>110</v>
      </c>
      <c r="D44" s="19">
        <v>6.8054222773166403E-2</v>
      </c>
      <c r="E44" s="19">
        <v>1.2457627078765143E-2</v>
      </c>
      <c r="I44" t="s">
        <v>110</v>
      </c>
      <c r="J44" t="s">
        <v>110</v>
      </c>
      <c r="K44" t="s">
        <v>110</v>
      </c>
      <c r="L44" t="s">
        <v>110</v>
      </c>
      <c r="M44" s="53" t="s">
        <v>112</v>
      </c>
      <c r="N44" s="28" t="s">
        <v>2071</v>
      </c>
      <c r="O44" s="58" t="s">
        <v>112</v>
      </c>
      <c r="P44" s="51"/>
    </row>
    <row r="45" spans="2:18" x14ac:dyDescent="0.25">
      <c r="B45" t="s">
        <v>2095</v>
      </c>
      <c r="C45" t="s">
        <v>110</v>
      </c>
      <c r="D45" s="19">
        <v>4.9483270761773453E-2</v>
      </c>
      <c r="E45" s="19">
        <v>9.0581320110351589E-3</v>
      </c>
      <c r="I45" t="s">
        <v>110</v>
      </c>
      <c r="J45" t="s">
        <v>110</v>
      </c>
      <c r="L45" t="s">
        <v>110</v>
      </c>
      <c r="M45" s="54" t="s">
        <v>112</v>
      </c>
      <c r="N45" s="28" t="s">
        <v>2071</v>
      </c>
      <c r="O45" s="34"/>
      <c r="P45" s="51"/>
    </row>
    <row r="46" spans="2:18" x14ac:dyDescent="0.25">
      <c r="B46" t="s">
        <v>2096</v>
      </c>
      <c r="C46" t="s">
        <v>110</v>
      </c>
      <c r="D46" s="19">
        <v>4.15738160295041E-2</v>
      </c>
      <c r="E46" s="19">
        <v>7.6102712694701676E-3</v>
      </c>
      <c r="I46" t="s">
        <v>110</v>
      </c>
      <c r="J46" t="s">
        <v>110</v>
      </c>
      <c r="L46" t="s">
        <v>110</v>
      </c>
      <c r="M46" s="53" t="s">
        <v>112</v>
      </c>
      <c r="N46" s="28" t="s">
        <v>2071</v>
      </c>
      <c r="O46" s="58" t="s">
        <v>112</v>
      </c>
      <c r="P46" s="51"/>
    </row>
    <row r="47" spans="2:18" x14ac:dyDescent="0.25">
      <c r="B47" t="s">
        <v>2097</v>
      </c>
      <c r="C47" t="s">
        <v>110</v>
      </c>
      <c r="D47" s="19">
        <v>3.5355124469556798E-2</v>
      </c>
      <c r="E47" s="19">
        <v>6.4719122196591683E-3</v>
      </c>
      <c r="I47" t="s">
        <v>110</v>
      </c>
      <c r="J47" t="s">
        <v>110</v>
      </c>
      <c r="L47" t="s">
        <v>110</v>
      </c>
      <c r="M47" s="54" t="s">
        <v>112</v>
      </c>
      <c r="N47" s="28" t="s">
        <v>2057</v>
      </c>
      <c r="O47" s="34"/>
      <c r="P47" s="51"/>
    </row>
    <row r="48" spans="2:18" x14ac:dyDescent="0.25">
      <c r="B48" t="s">
        <v>2098</v>
      </c>
      <c r="C48" t="s">
        <v>110</v>
      </c>
      <c r="D48" s="19">
        <v>6.8112336620283149E-3</v>
      </c>
      <c r="E48" s="19">
        <v>1.2468265076026619E-3</v>
      </c>
      <c r="I48" t="s">
        <v>110</v>
      </c>
      <c r="J48" t="s">
        <v>110</v>
      </c>
      <c r="L48" t="s">
        <v>110</v>
      </c>
      <c r="M48" s="53" t="s">
        <v>112</v>
      </c>
      <c r="N48" s="28" t="s">
        <v>2057</v>
      </c>
      <c r="O48" s="34"/>
      <c r="P48" s="51"/>
    </row>
    <row r="49" spans="2:16" x14ac:dyDescent="0.25">
      <c r="B49" t="s">
        <v>2099</v>
      </c>
      <c r="C49" t="s">
        <v>110</v>
      </c>
      <c r="D49" s="19">
        <v>6.4582352363657261E-3</v>
      </c>
      <c r="E49" s="19">
        <v>1.1822085813800196E-3</v>
      </c>
      <c r="I49" t="s">
        <v>110</v>
      </c>
      <c r="J49" t="s">
        <v>110</v>
      </c>
      <c r="L49" t="s">
        <v>110</v>
      </c>
      <c r="M49" s="54" t="s">
        <v>112</v>
      </c>
      <c r="N49" s="28" t="s">
        <v>2057</v>
      </c>
      <c r="O49" s="34"/>
      <c r="P49" s="51"/>
    </row>
    <row r="50" spans="2:16" x14ac:dyDescent="0.25">
      <c r="B50" t="s">
        <v>2100</v>
      </c>
      <c r="C50" t="s">
        <v>110</v>
      </c>
      <c r="D50" s="19">
        <v>3.5217370630938076E-3</v>
      </c>
      <c r="E50" s="19">
        <v>6.4466957690077461E-4</v>
      </c>
      <c r="I50" t="s">
        <v>110</v>
      </c>
      <c r="J50" t="s">
        <v>110</v>
      </c>
      <c r="L50" t="s">
        <v>110</v>
      </c>
      <c r="M50" s="53" t="s">
        <v>112</v>
      </c>
      <c r="N50" s="28" t="s">
        <v>2057</v>
      </c>
      <c r="O50" s="34"/>
      <c r="P50" s="51"/>
    </row>
    <row r="51" spans="2:16" x14ac:dyDescent="0.25">
      <c r="B51" t="s">
        <v>2101</v>
      </c>
      <c r="C51" t="s">
        <v>110</v>
      </c>
      <c r="D51" s="19">
        <v>3.4273600068081278E-3</v>
      </c>
      <c r="E51" s="19">
        <v>6.2739343849100345E-4</v>
      </c>
      <c r="I51" t="s">
        <v>110</v>
      </c>
      <c r="J51" t="s">
        <v>110</v>
      </c>
      <c r="L51" t="s">
        <v>110</v>
      </c>
      <c r="M51" s="54" t="s">
        <v>112</v>
      </c>
      <c r="N51" s="28" t="s">
        <v>2057</v>
      </c>
      <c r="O51" s="34"/>
      <c r="P51" s="51"/>
    </row>
    <row r="52" spans="2:16" x14ac:dyDescent="0.25">
      <c r="B52" t="s">
        <v>2102</v>
      </c>
      <c r="C52" t="s">
        <v>110</v>
      </c>
      <c r="D52" s="19">
        <v>3.3397088170923047E-3</v>
      </c>
      <c r="E52" s="19">
        <v>6.1134849976428622E-4</v>
      </c>
      <c r="I52" t="s">
        <v>110</v>
      </c>
      <c r="J52" t="s">
        <v>124</v>
      </c>
      <c r="L52" t="s">
        <v>110</v>
      </c>
      <c r="M52" s="53" t="s">
        <v>112</v>
      </c>
      <c r="N52" s="28" t="s">
        <v>2057</v>
      </c>
      <c r="O52" s="34"/>
      <c r="P52" s="51"/>
    </row>
    <row r="53" spans="2:16" x14ac:dyDescent="0.25">
      <c r="B53" t="s">
        <v>2103</v>
      </c>
      <c r="C53" t="s">
        <v>110</v>
      </c>
      <c r="D53" s="19">
        <v>2.1370598185297984E-3</v>
      </c>
      <c r="E53" s="19">
        <v>3.9119827072295945E-4</v>
      </c>
      <c r="I53" t="s">
        <v>110</v>
      </c>
      <c r="J53" t="s">
        <v>110</v>
      </c>
      <c r="L53" t="s">
        <v>110</v>
      </c>
      <c r="M53" s="54" t="s">
        <v>112</v>
      </c>
      <c r="N53" s="28" t="s">
        <v>2071</v>
      </c>
      <c r="O53" s="34"/>
      <c r="P53" s="51"/>
    </row>
    <row r="54" spans="2:16" x14ac:dyDescent="0.25">
      <c r="B54" t="s">
        <v>2104</v>
      </c>
      <c r="C54" t="s">
        <v>110</v>
      </c>
      <c r="D54" s="19">
        <v>1.6769532320028717E-3</v>
      </c>
      <c r="E54" s="19">
        <v>3.0697372097619356E-4</v>
      </c>
      <c r="I54" t="s">
        <v>110</v>
      </c>
      <c r="L54" t="s">
        <v>110</v>
      </c>
      <c r="M54" s="53" t="s">
        <v>112</v>
      </c>
      <c r="N54" s="28" t="s">
        <v>2057</v>
      </c>
      <c r="O54" s="34"/>
      <c r="P54" s="51"/>
    </row>
    <row r="55" spans="2:16" x14ac:dyDescent="0.25">
      <c r="B55" t="s">
        <v>2105</v>
      </c>
      <c r="C55" t="s">
        <v>110</v>
      </c>
      <c r="D55" s="19">
        <v>7.295331701175665E-4</v>
      </c>
      <c r="E55" s="19">
        <v>1.3354427990760109E-4</v>
      </c>
      <c r="I55" t="s">
        <v>110</v>
      </c>
      <c r="J55" t="s">
        <v>110</v>
      </c>
      <c r="L55" t="s">
        <v>110</v>
      </c>
      <c r="M55" s="54" t="s">
        <v>112</v>
      </c>
      <c r="N55" s="28" t="s">
        <v>2071</v>
      </c>
      <c r="O55" s="34"/>
      <c r="P55" s="51"/>
    </row>
    <row r="56" spans="2:16" x14ac:dyDescent="0.25">
      <c r="B56" t="s">
        <v>2106</v>
      </c>
      <c r="C56" t="s">
        <v>110</v>
      </c>
      <c r="D56" s="19">
        <v>6.2802146965722011E-4</v>
      </c>
      <c r="E56" s="19">
        <v>1.1496211326261027E-4</v>
      </c>
      <c r="I56" t="s">
        <v>110</v>
      </c>
      <c r="J56" t="s">
        <v>110</v>
      </c>
      <c r="L56" t="s">
        <v>110</v>
      </c>
      <c r="M56" s="53" t="s">
        <v>112</v>
      </c>
      <c r="N56" s="28" t="s">
        <v>2057</v>
      </c>
      <c r="O56" s="34"/>
      <c r="P56" s="51"/>
    </row>
    <row r="57" spans="2:16" x14ac:dyDescent="0.25">
      <c r="B57" t="s">
        <v>2107</v>
      </c>
      <c r="C57" t="s">
        <v>110</v>
      </c>
      <c r="D57" s="19">
        <v>1.3106168566575772E-6</v>
      </c>
      <c r="E57" s="19">
        <v>2.3991422395350976E-7</v>
      </c>
      <c r="I57" t="s">
        <v>110</v>
      </c>
      <c r="L57" t="s">
        <v>110</v>
      </c>
      <c r="M57" s="54" t="s">
        <v>112</v>
      </c>
      <c r="N57" s="28" t="s">
        <v>2057</v>
      </c>
      <c r="O57" s="34"/>
      <c r="P57" s="51"/>
    </row>
    <row r="58" spans="2:16" x14ac:dyDescent="0.25">
      <c r="B58" t="s">
        <v>2108</v>
      </c>
      <c r="C58" t="s">
        <v>120</v>
      </c>
      <c r="D58" s="19">
        <v>0.86274562647923014</v>
      </c>
      <c r="E58" s="19">
        <v>2.4596416639608175E-2</v>
      </c>
      <c r="I58" t="s">
        <v>120</v>
      </c>
      <c r="J58" t="s">
        <v>120</v>
      </c>
      <c r="K58" t="s">
        <v>120</v>
      </c>
      <c r="L58" t="s">
        <v>120</v>
      </c>
      <c r="M58" s="55" t="s">
        <v>120</v>
      </c>
      <c r="N58" s="28" t="s">
        <v>2057</v>
      </c>
      <c r="O58" s="34"/>
      <c r="P58" s="51"/>
    </row>
    <row r="59" spans="2:16" x14ac:dyDescent="0.25">
      <c r="B59" t="s">
        <v>2109</v>
      </c>
      <c r="C59" t="s">
        <v>110</v>
      </c>
      <c r="D59" s="19">
        <v>5.6528008272594722E-2</v>
      </c>
      <c r="E59" s="19">
        <v>1.6115832994181279E-3</v>
      </c>
      <c r="I59" t="s">
        <v>110</v>
      </c>
      <c r="J59" t="s">
        <v>110</v>
      </c>
      <c r="L59" t="s">
        <v>110</v>
      </c>
      <c r="M59" s="54" t="s">
        <v>112</v>
      </c>
      <c r="N59" s="28" t="s">
        <v>2057</v>
      </c>
      <c r="O59" s="34"/>
      <c r="P59" s="51"/>
    </row>
    <row r="60" spans="2:16" x14ac:dyDescent="0.25">
      <c r="B60" t="s">
        <v>2110</v>
      </c>
      <c r="C60" t="s">
        <v>120</v>
      </c>
      <c r="D60" s="19">
        <v>3.3151937384926215E-2</v>
      </c>
      <c r="E60" s="19">
        <v>9.4514401383578384E-4</v>
      </c>
      <c r="I60" t="s">
        <v>120</v>
      </c>
      <c r="J60" t="s">
        <v>120</v>
      </c>
      <c r="L60" t="s">
        <v>124</v>
      </c>
      <c r="M60" s="55" t="s">
        <v>120</v>
      </c>
      <c r="N60" s="28" t="s">
        <v>2057</v>
      </c>
      <c r="O60" s="34"/>
      <c r="P60" s="51"/>
    </row>
    <row r="61" spans="2:16" x14ac:dyDescent="0.25">
      <c r="B61" t="s">
        <v>2111</v>
      </c>
      <c r="C61" t="s">
        <v>120</v>
      </c>
      <c r="D61" s="19">
        <v>1.1362046051484434E-2</v>
      </c>
      <c r="E61" s="19">
        <v>3.2392585946937162E-4</v>
      </c>
      <c r="I61" t="s">
        <v>120</v>
      </c>
      <c r="J61" t="s">
        <v>120</v>
      </c>
      <c r="L61" t="s">
        <v>124</v>
      </c>
      <c r="M61" s="28" t="s">
        <v>120</v>
      </c>
      <c r="N61" s="28" t="s">
        <v>2071</v>
      </c>
      <c r="O61" s="34"/>
      <c r="P61" s="51"/>
    </row>
    <row r="62" spans="2:16" x14ac:dyDescent="0.25">
      <c r="B62" t="s">
        <v>2112</v>
      </c>
      <c r="C62" t="s">
        <v>120</v>
      </c>
      <c r="D62" s="19">
        <v>1.0150304447980832E-2</v>
      </c>
      <c r="E62" s="19">
        <v>2.8937975407681188E-4</v>
      </c>
      <c r="I62" t="s">
        <v>120</v>
      </c>
      <c r="J62" t="s">
        <v>120</v>
      </c>
      <c r="L62" t="s">
        <v>124</v>
      </c>
      <c r="M62" s="55" t="s">
        <v>120</v>
      </c>
      <c r="N62" s="28" t="s">
        <v>2057</v>
      </c>
      <c r="O62" s="34"/>
      <c r="P62" s="51"/>
    </row>
    <row r="63" spans="2:16" x14ac:dyDescent="0.25">
      <c r="B63" t="s">
        <v>2113</v>
      </c>
      <c r="C63" t="s">
        <v>120</v>
      </c>
      <c r="D63" s="19">
        <v>5.6459008650225594E-3</v>
      </c>
      <c r="E63" s="19">
        <v>1.6096161570673835E-4</v>
      </c>
      <c r="I63" t="s">
        <v>120</v>
      </c>
      <c r="J63" t="s">
        <v>120</v>
      </c>
      <c r="L63" t="s">
        <v>124</v>
      </c>
      <c r="M63" s="28" t="s">
        <v>120</v>
      </c>
      <c r="N63" s="28" t="s">
        <v>2057</v>
      </c>
      <c r="O63" s="34"/>
      <c r="P63" s="51"/>
    </row>
    <row r="64" spans="2:16" x14ac:dyDescent="0.25">
      <c r="B64" t="s">
        <v>2114</v>
      </c>
      <c r="C64" t="s">
        <v>120</v>
      </c>
      <c r="D64" s="19">
        <v>5.3387848987913539E-3</v>
      </c>
      <c r="E64" s="19">
        <v>1.5220590367499452E-4</v>
      </c>
      <c r="I64" t="s">
        <v>120</v>
      </c>
      <c r="J64" t="s">
        <v>110</v>
      </c>
      <c r="L64" t="s">
        <v>124</v>
      </c>
      <c r="M64" s="53" t="s">
        <v>112</v>
      </c>
      <c r="N64" s="28" t="s">
        <v>2057</v>
      </c>
      <c r="O64" s="34"/>
      <c r="P64" s="51"/>
    </row>
    <row r="65" spans="2:18" x14ac:dyDescent="0.25">
      <c r="B65" t="s">
        <v>2115</v>
      </c>
      <c r="C65" t="s">
        <v>120</v>
      </c>
      <c r="D65" s="19">
        <v>4.7944455249875496E-3</v>
      </c>
      <c r="E65" s="19">
        <v>1.3668707909855477E-4</v>
      </c>
      <c r="I65" t="s">
        <v>120</v>
      </c>
      <c r="J65" t="s">
        <v>120</v>
      </c>
      <c r="L65" t="s">
        <v>124</v>
      </c>
      <c r="M65" s="28" t="s">
        <v>120</v>
      </c>
      <c r="N65" s="28" t="s">
        <v>2057</v>
      </c>
      <c r="O65" s="34"/>
      <c r="P65" s="51"/>
    </row>
    <row r="66" spans="2:18" x14ac:dyDescent="0.25">
      <c r="B66" t="s">
        <v>2116</v>
      </c>
      <c r="C66" t="s">
        <v>120</v>
      </c>
      <c r="D66" s="19">
        <v>4.435349843238269E-3</v>
      </c>
      <c r="E66" s="19">
        <v>1.2644945316258362E-4</v>
      </c>
      <c r="I66" t="s">
        <v>120</v>
      </c>
      <c r="J66" t="s">
        <v>120</v>
      </c>
      <c r="L66" t="s">
        <v>124</v>
      </c>
      <c r="M66" s="55" t="s">
        <v>120</v>
      </c>
      <c r="N66" s="28" t="s">
        <v>2071</v>
      </c>
      <c r="O66" s="34"/>
      <c r="P66" s="51"/>
    </row>
    <row r="67" spans="2:18" x14ac:dyDescent="0.25">
      <c r="B67" t="s">
        <v>2117</v>
      </c>
      <c r="C67" t="s">
        <v>120</v>
      </c>
      <c r="D67" s="19">
        <v>2.7316003442296455E-3</v>
      </c>
      <c r="E67" s="19">
        <v>7.7876465666658416E-5</v>
      </c>
      <c r="I67" t="s">
        <v>120</v>
      </c>
      <c r="J67" t="s">
        <v>120</v>
      </c>
      <c r="L67" t="s">
        <v>124</v>
      </c>
      <c r="M67" s="28" t="s">
        <v>120</v>
      </c>
      <c r="N67" s="28" t="s">
        <v>2057</v>
      </c>
      <c r="O67" s="34"/>
      <c r="P67" s="51"/>
    </row>
    <row r="68" spans="2:18" x14ac:dyDescent="0.25">
      <c r="B68" t="s">
        <v>2118</v>
      </c>
      <c r="C68" t="s">
        <v>120</v>
      </c>
      <c r="D68" s="19">
        <v>1.5288963383226282E-3</v>
      </c>
      <c r="E68" s="19">
        <v>4.3588017350627537E-5</v>
      </c>
      <c r="I68" t="s">
        <v>120</v>
      </c>
      <c r="J68" t="s">
        <v>120</v>
      </c>
      <c r="L68" t="s">
        <v>124</v>
      </c>
      <c r="M68" s="55" t="s">
        <v>120</v>
      </c>
      <c r="N68" s="28" t="s">
        <v>2057</v>
      </c>
      <c r="O68" s="34"/>
      <c r="P68" s="51" t="s">
        <v>105</v>
      </c>
      <c r="Q68" t="s">
        <v>105</v>
      </c>
      <c r="R68" t="s">
        <v>105</v>
      </c>
    </row>
    <row r="69" spans="2:18" x14ac:dyDescent="0.25">
      <c r="B69" t="s">
        <v>2119</v>
      </c>
      <c r="C69" t="s">
        <v>120</v>
      </c>
      <c r="D69" s="19">
        <v>1.1391161186256661E-3</v>
      </c>
      <c r="E69" s="19">
        <v>3.2475591639854841E-5</v>
      </c>
      <c r="I69" t="s">
        <v>120</v>
      </c>
      <c r="J69" t="s">
        <v>120</v>
      </c>
      <c r="L69" t="s">
        <v>124</v>
      </c>
      <c r="M69" s="28" t="s">
        <v>120</v>
      </c>
      <c r="N69" s="28" t="s">
        <v>2057</v>
      </c>
      <c r="O69" s="34"/>
      <c r="P69" s="51"/>
    </row>
    <row r="70" spans="2:18" x14ac:dyDescent="0.25">
      <c r="B70" t="s">
        <v>2120</v>
      </c>
      <c r="C70" t="s">
        <v>120</v>
      </c>
      <c r="D70" s="19">
        <v>4.4798343056597762E-4</v>
      </c>
      <c r="E70" s="19">
        <v>1.2771768140753402E-5</v>
      </c>
      <c r="I70" t="s">
        <v>120</v>
      </c>
      <c r="J70" t="s">
        <v>110</v>
      </c>
      <c r="L70" t="s">
        <v>110</v>
      </c>
      <c r="M70" s="55" t="s">
        <v>120</v>
      </c>
      <c r="N70" s="28" t="s">
        <v>2057</v>
      </c>
      <c r="O70" s="34"/>
      <c r="P70" s="51"/>
    </row>
    <row r="71" spans="2:18" x14ac:dyDescent="0.25">
      <c r="B71" t="s">
        <v>2121</v>
      </c>
      <c r="C71" t="s">
        <v>113</v>
      </c>
      <c r="D71" s="19">
        <v>0.83149057532562198</v>
      </c>
      <c r="E71" s="19">
        <v>1.8320845283690972E-2</v>
      </c>
      <c r="I71" t="s">
        <v>113</v>
      </c>
      <c r="J71" t="s">
        <v>113</v>
      </c>
      <c r="K71" t="s">
        <v>113</v>
      </c>
      <c r="L71" t="s">
        <v>113</v>
      </c>
      <c r="M71" s="28" t="s">
        <v>113</v>
      </c>
      <c r="N71" s="28" t="s">
        <v>2057</v>
      </c>
      <c r="O71" s="34"/>
      <c r="P71" s="51"/>
    </row>
    <row r="72" spans="2:18" x14ac:dyDescent="0.25">
      <c r="B72" t="s">
        <v>2122</v>
      </c>
      <c r="C72" t="s">
        <v>113</v>
      </c>
      <c r="D72" s="19">
        <v>0.16475208894534255</v>
      </c>
      <c r="E72" s="19">
        <v>3.630104322650287E-3</v>
      </c>
      <c r="I72" t="s">
        <v>113</v>
      </c>
      <c r="J72" t="s">
        <v>113</v>
      </c>
      <c r="L72" t="s">
        <v>113</v>
      </c>
      <c r="M72" s="55" t="s">
        <v>113</v>
      </c>
      <c r="N72" s="28" t="s">
        <v>2057</v>
      </c>
      <c r="O72" s="58" t="s">
        <v>113</v>
      </c>
      <c r="P72" s="51"/>
    </row>
    <row r="73" spans="2:18" x14ac:dyDescent="0.25">
      <c r="B73" t="s">
        <v>2123</v>
      </c>
      <c r="C73" t="s">
        <v>113</v>
      </c>
      <c r="D73" s="19">
        <v>3.7573357290354467E-3</v>
      </c>
      <c r="E73" s="19">
        <v>8.2788150116536207E-5</v>
      </c>
      <c r="I73" t="s">
        <v>113</v>
      </c>
      <c r="J73" t="s">
        <v>113</v>
      </c>
      <c r="L73" t="s">
        <v>124</v>
      </c>
      <c r="M73" s="54" t="s">
        <v>124</v>
      </c>
      <c r="N73" s="28" t="s">
        <v>2057</v>
      </c>
      <c r="O73" s="34"/>
      <c r="P73" s="51"/>
    </row>
    <row r="74" spans="2:18" x14ac:dyDescent="0.25">
      <c r="B74" t="s">
        <v>2124</v>
      </c>
      <c r="C74" t="s">
        <v>114</v>
      </c>
      <c r="D74" s="19">
        <v>0.12227713409100921</v>
      </c>
      <c r="E74" s="19">
        <v>2.3981974712068796E-2</v>
      </c>
      <c r="I74" s="49" t="s">
        <v>119</v>
      </c>
      <c r="J74" t="s">
        <v>114</v>
      </c>
      <c r="K74" t="s">
        <v>114</v>
      </c>
      <c r="L74" t="s">
        <v>114</v>
      </c>
      <c r="M74" s="53" t="s">
        <v>119</v>
      </c>
      <c r="N74" s="28" t="s">
        <v>2057</v>
      </c>
      <c r="O74" s="58" t="s">
        <v>119</v>
      </c>
      <c r="P74" s="51"/>
    </row>
    <row r="75" spans="2:18" x14ac:dyDescent="0.25">
      <c r="B75" t="s">
        <v>2125</v>
      </c>
      <c r="C75" t="s">
        <v>114</v>
      </c>
      <c r="D75" s="19">
        <v>7.7425180395802054E-2</v>
      </c>
      <c r="E75" s="19">
        <v>1.5185248919454492E-2</v>
      </c>
      <c r="I75" t="s">
        <v>118</v>
      </c>
      <c r="J75" t="s">
        <v>114</v>
      </c>
      <c r="K75" t="s">
        <v>114</v>
      </c>
      <c r="L75" t="s">
        <v>124</v>
      </c>
      <c r="M75" s="54" t="s">
        <v>118</v>
      </c>
      <c r="N75" s="28" t="s">
        <v>2057</v>
      </c>
      <c r="O75" s="34"/>
      <c r="P75" s="51"/>
    </row>
    <row r="76" spans="2:18" x14ac:dyDescent="0.25">
      <c r="B76" t="s">
        <v>2126</v>
      </c>
      <c r="C76" t="s">
        <v>114</v>
      </c>
      <c r="D76" s="19">
        <v>7.3309508139860133E-2</v>
      </c>
      <c r="E76" s="19">
        <v>1.4378050184393367E-2</v>
      </c>
      <c r="I76" t="s">
        <v>118</v>
      </c>
      <c r="J76" t="s">
        <v>114</v>
      </c>
      <c r="K76" t="s">
        <v>114</v>
      </c>
      <c r="L76" t="s">
        <v>114</v>
      </c>
      <c r="M76" s="53" t="s">
        <v>118</v>
      </c>
      <c r="N76" s="28" t="s">
        <v>2057</v>
      </c>
      <c r="O76" s="58" t="s">
        <v>118</v>
      </c>
      <c r="P76" s="51"/>
    </row>
    <row r="77" spans="2:18" x14ac:dyDescent="0.25">
      <c r="B77" t="s">
        <v>2127</v>
      </c>
      <c r="C77" t="s">
        <v>114</v>
      </c>
      <c r="D77" s="19">
        <v>7.2713378775256868E-2</v>
      </c>
      <c r="E77" s="19">
        <v>1.4261132500205605E-2</v>
      </c>
      <c r="I77" t="s">
        <v>115</v>
      </c>
      <c r="J77" t="s">
        <v>114</v>
      </c>
      <c r="L77" t="s">
        <v>114</v>
      </c>
      <c r="M77" s="54" t="s">
        <v>115</v>
      </c>
      <c r="N77" s="28" t="s">
        <v>2057</v>
      </c>
      <c r="O77" s="34" t="s">
        <v>115</v>
      </c>
      <c r="P77" s="51"/>
    </row>
    <row r="78" spans="2:18" x14ac:dyDescent="0.25">
      <c r="B78" t="s">
        <v>2128</v>
      </c>
      <c r="C78" t="s">
        <v>114</v>
      </c>
      <c r="D78" s="19">
        <v>4.7099152148757262E-2</v>
      </c>
      <c r="E78" s="19">
        <v>9.2374644220127294E-3</v>
      </c>
      <c r="I78" s="49" t="s">
        <v>119</v>
      </c>
      <c r="J78" t="s">
        <v>114</v>
      </c>
      <c r="K78" t="s">
        <v>114</v>
      </c>
      <c r="L78" t="s">
        <v>114</v>
      </c>
      <c r="M78" s="53" t="s">
        <v>119</v>
      </c>
      <c r="N78" s="28" t="s">
        <v>2057</v>
      </c>
      <c r="O78" s="58"/>
      <c r="P78" s="51"/>
    </row>
    <row r="79" spans="2:18" x14ac:dyDescent="0.25">
      <c r="B79" t="s">
        <v>2129</v>
      </c>
      <c r="C79" t="s">
        <v>114</v>
      </c>
      <c r="D79" s="19">
        <v>4.5798755489879071E-2</v>
      </c>
      <c r="E79" s="19">
        <v>8.9824201733826933E-3</v>
      </c>
      <c r="I79" s="49" t="s">
        <v>119</v>
      </c>
      <c r="J79" t="s">
        <v>114</v>
      </c>
      <c r="L79" t="s">
        <v>114</v>
      </c>
      <c r="M79" s="54" t="s">
        <v>119</v>
      </c>
      <c r="N79" s="28" t="s">
        <v>2057</v>
      </c>
      <c r="O79" s="34" t="s">
        <v>119</v>
      </c>
      <c r="P79" s="51"/>
    </row>
    <row r="80" spans="2:18" x14ac:dyDescent="0.25">
      <c r="B80" t="s">
        <v>2130</v>
      </c>
      <c r="C80" t="s">
        <v>114</v>
      </c>
      <c r="D80" s="19">
        <v>3.3540021406063075E-2</v>
      </c>
      <c r="E80" s="19">
        <v>6.5781386780277293E-3</v>
      </c>
      <c r="I80" t="s">
        <v>118</v>
      </c>
      <c r="J80" t="s">
        <v>114</v>
      </c>
      <c r="K80" t="s">
        <v>114</v>
      </c>
      <c r="L80" t="s">
        <v>124</v>
      </c>
      <c r="M80" s="53" t="s">
        <v>118</v>
      </c>
      <c r="N80" s="28" t="s">
        <v>2057</v>
      </c>
      <c r="O80" s="34"/>
      <c r="P80" s="51"/>
    </row>
    <row r="81" spans="2:16" x14ac:dyDescent="0.25">
      <c r="B81" t="s">
        <v>2131</v>
      </c>
      <c r="C81" t="s">
        <v>114</v>
      </c>
      <c r="D81" s="19">
        <v>2.7721053842493893E-2</v>
      </c>
      <c r="E81" s="19">
        <v>5.4368759718213568E-3</v>
      </c>
      <c r="I81" t="s">
        <v>116</v>
      </c>
      <c r="J81" t="s">
        <v>114</v>
      </c>
      <c r="L81" t="s">
        <v>114</v>
      </c>
      <c r="M81" s="54" t="s">
        <v>116</v>
      </c>
      <c r="N81" s="28" t="s">
        <v>2071</v>
      </c>
      <c r="O81" s="34"/>
      <c r="P81" s="51"/>
    </row>
    <row r="82" spans="2:16" x14ac:dyDescent="0.25">
      <c r="B82" t="s">
        <v>2132</v>
      </c>
      <c r="C82" t="s">
        <v>114</v>
      </c>
      <c r="D82" s="19">
        <v>2.5741362344710684E-2</v>
      </c>
      <c r="E82" s="19">
        <v>5.0486029574882104E-3</v>
      </c>
      <c r="I82" s="49" t="s">
        <v>119</v>
      </c>
      <c r="J82" t="s">
        <v>114</v>
      </c>
      <c r="L82" t="s">
        <v>114</v>
      </c>
      <c r="M82" s="53" t="s">
        <v>119</v>
      </c>
      <c r="N82" s="28" t="s">
        <v>2057</v>
      </c>
      <c r="O82" s="34"/>
      <c r="P82" s="51"/>
    </row>
    <row r="83" spans="2:16" x14ac:dyDescent="0.25">
      <c r="B83" t="s">
        <v>2133</v>
      </c>
      <c r="C83" t="s">
        <v>114</v>
      </c>
      <c r="D83" s="19">
        <v>2.1290833415991414E-2</v>
      </c>
      <c r="E83" s="19">
        <v>4.1757294393336497E-3</v>
      </c>
      <c r="I83" t="s">
        <v>116</v>
      </c>
      <c r="J83" t="s">
        <v>114</v>
      </c>
      <c r="L83" t="s">
        <v>114</v>
      </c>
      <c r="M83" s="54" t="s">
        <v>116</v>
      </c>
      <c r="N83" s="28" t="s">
        <v>2071</v>
      </c>
      <c r="O83" s="34"/>
      <c r="P83" s="51"/>
    </row>
    <row r="84" spans="2:16" x14ac:dyDescent="0.25">
      <c r="B84" t="s">
        <v>2134</v>
      </c>
      <c r="C84" t="s">
        <v>114</v>
      </c>
      <c r="D84" s="19">
        <v>2.0228156911097722E-2</v>
      </c>
      <c r="E84" s="19">
        <v>3.9673087787013683E-3</v>
      </c>
      <c r="I84" t="s">
        <v>117</v>
      </c>
      <c r="J84" t="s">
        <v>114</v>
      </c>
      <c r="L84" t="s">
        <v>114</v>
      </c>
      <c r="M84" s="53" t="s">
        <v>117</v>
      </c>
      <c r="N84" s="28" t="s">
        <v>2071</v>
      </c>
      <c r="O84" s="34"/>
      <c r="P84" s="51"/>
    </row>
    <row r="85" spans="2:16" x14ac:dyDescent="0.25">
      <c r="B85" t="s">
        <v>2135</v>
      </c>
      <c r="C85" t="s">
        <v>114</v>
      </c>
      <c r="D85" s="19">
        <v>1.9670428252397211E-2</v>
      </c>
      <c r="E85" s="19">
        <v>3.8579225497176522E-3</v>
      </c>
      <c r="I85" t="s">
        <v>116</v>
      </c>
      <c r="J85" t="s">
        <v>114</v>
      </c>
      <c r="L85" t="s">
        <v>114</v>
      </c>
      <c r="M85" s="54" t="s">
        <v>116</v>
      </c>
      <c r="N85" s="28" t="s">
        <v>2071</v>
      </c>
      <c r="O85" s="34"/>
      <c r="P85" s="51"/>
    </row>
    <row r="86" spans="2:16" x14ac:dyDescent="0.25">
      <c r="B86" t="s">
        <v>2136</v>
      </c>
      <c r="C86" t="s">
        <v>114</v>
      </c>
      <c r="D86" s="19">
        <v>1.9389575645178077E-2</v>
      </c>
      <c r="E86" s="19">
        <v>3.8028394781833229E-3</v>
      </c>
      <c r="I86" t="s">
        <v>118</v>
      </c>
      <c r="J86" t="s">
        <v>114</v>
      </c>
      <c r="L86" t="s">
        <v>124</v>
      </c>
      <c r="M86" s="53" t="s">
        <v>118</v>
      </c>
      <c r="N86" s="28" t="s">
        <v>2057</v>
      </c>
      <c r="O86" s="34"/>
      <c r="P86" s="51"/>
    </row>
    <row r="87" spans="2:16" x14ac:dyDescent="0.25">
      <c r="B87" t="s">
        <v>2137</v>
      </c>
      <c r="C87" t="s">
        <v>114</v>
      </c>
      <c r="D87" s="19">
        <v>1.9203039388142516E-2</v>
      </c>
      <c r="E87" s="19">
        <v>3.7662544876013448E-3</v>
      </c>
      <c r="I87" s="49" t="s">
        <v>119</v>
      </c>
      <c r="J87" t="s">
        <v>114</v>
      </c>
      <c r="L87" t="s">
        <v>114</v>
      </c>
      <c r="M87" s="54" t="s">
        <v>119</v>
      </c>
      <c r="N87" s="28" t="s">
        <v>2057</v>
      </c>
      <c r="O87" s="34"/>
      <c r="P87" s="51"/>
    </row>
    <row r="88" spans="2:16" x14ac:dyDescent="0.25">
      <c r="B88" t="s">
        <v>2138</v>
      </c>
      <c r="C88" t="s">
        <v>114</v>
      </c>
      <c r="D88" s="19">
        <v>1.9082503729800821E-2</v>
      </c>
      <c r="E88" s="19">
        <v>3.7426140651156364E-3</v>
      </c>
      <c r="I88" t="s">
        <v>116</v>
      </c>
      <c r="J88" t="s">
        <v>114</v>
      </c>
      <c r="L88" t="s">
        <v>114</v>
      </c>
      <c r="M88" s="53" t="s">
        <v>116</v>
      </c>
      <c r="N88" s="28" t="s">
        <v>2071</v>
      </c>
      <c r="O88" s="34"/>
      <c r="P88" s="51"/>
    </row>
    <row r="89" spans="2:16" x14ac:dyDescent="0.25">
      <c r="B89" t="s">
        <v>2139</v>
      </c>
      <c r="C89" t="s">
        <v>114</v>
      </c>
      <c r="D89" s="19">
        <v>1.8991168813098178E-2</v>
      </c>
      <c r="E89" s="19">
        <v>3.7247007268698985E-3</v>
      </c>
      <c r="I89" t="s">
        <v>116</v>
      </c>
      <c r="J89" t="s">
        <v>114</v>
      </c>
      <c r="L89" t="s">
        <v>114</v>
      </c>
      <c r="M89" s="54" t="s">
        <v>116</v>
      </c>
      <c r="N89" s="28" t="s">
        <v>2071</v>
      </c>
      <c r="O89" s="34" t="s">
        <v>116</v>
      </c>
      <c r="P89" s="51"/>
    </row>
    <row r="90" spans="2:16" x14ac:dyDescent="0.25">
      <c r="B90" t="s">
        <v>2140</v>
      </c>
      <c r="C90" t="s">
        <v>114</v>
      </c>
      <c r="D90" s="19">
        <v>1.8659033976691282E-2</v>
      </c>
      <c r="E90" s="19">
        <v>3.6595597722104702E-3</v>
      </c>
      <c r="I90" s="49" t="s">
        <v>119</v>
      </c>
      <c r="J90" t="s">
        <v>114</v>
      </c>
      <c r="L90" t="s">
        <v>114</v>
      </c>
      <c r="M90" s="53" t="s">
        <v>119</v>
      </c>
      <c r="N90" s="28" t="s">
        <v>2057</v>
      </c>
      <c r="O90" s="34"/>
      <c r="P90" s="51"/>
    </row>
    <row r="91" spans="2:16" x14ac:dyDescent="0.25">
      <c r="B91" t="s">
        <v>2141</v>
      </c>
      <c r="C91" t="s">
        <v>114</v>
      </c>
      <c r="D91" s="19">
        <v>1.7682429647078755E-2</v>
      </c>
      <c r="E91" s="19">
        <v>3.4680202786610656E-3</v>
      </c>
      <c r="I91" t="s">
        <v>115</v>
      </c>
      <c r="J91" t="s">
        <v>114</v>
      </c>
      <c r="L91" t="s">
        <v>114</v>
      </c>
      <c r="M91" s="54" t="s">
        <v>115</v>
      </c>
      <c r="N91" s="28" t="s">
        <v>2057</v>
      </c>
      <c r="O91" s="34" t="s">
        <v>115</v>
      </c>
      <c r="P91" s="51"/>
    </row>
    <row r="92" spans="2:16" x14ac:dyDescent="0.25">
      <c r="B92" t="s">
        <v>2142</v>
      </c>
      <c r="C92" t="s">
        <v>114</v>
      </c>
      <c r="D92" s="19">
        <v>1.7628653712314594E-2</v>
      </c>
      <c r="E92" s="19">
        <v>3.4574733099475849E-3</v>
      </c>
      <c r="I92" t="s">
        <v>116</v>
      </c>
      <c r="J92" t="s">
        <v>114</v>
      </c>
      <c r="L92" t="s">
        <v>114</v>
      </c>
      <c r="M92" s="53" t="s">
        <v>116</v>
      </c>
      <c r="N92" s="28" t="s">
        <v>2057</v>
      </c>
      <c r="O92" s="34"/>
      <c r="P92" s="51"/>
    </row>
    <row r="93" spans="2:16" x14ac:dyDescent="0.25">
      <c r="B93" t="s">
        <v>2143</v>
      </c>
      <c r="C93" t="s">
        <v>114</v>
      </c>
      <c r="D93" s="19">
        <v>1.7020209218121904E-2</v>
      </c>
      <c r="E93" s="19">
        <v>3.3381402835244585E-3</v>
      </c>
      <c r="I93" s="49" t="s">
        <v>119</v>
      </c>
      <c r="J93" t="s">
        <v>114</v>
      </c>
      <c r="L93" t="s">
        <v>114</v>
      </c>
      <c r="M93" s="54" t="s">
        <v>119</v>
      </c>
      <c r="N93" s="28" t="s">
        <v>2057</v>
      </c>
      <c r="O93" s="34" t="s">
        <v>119</v>
      </c>
      <c r="P93" s="51"/>
    </row>
    <row r="94" spans="2:16" x14ac:dyDescent="0.25">
      <c r="B94" t="s">
        <v>2144</v>
      </c>
      <c r="C94" t="s">
        <v>114</v>
      </c>
      <c r="D94" s="19">
        <v>1.6419355972765875E-2</v>
      </c>
      <c r="E94" s="19">
        <v>3.2202961138609147E-3</v>
      </c>
      <c r="I94" t="s">
        <v>115</v>
      </c>
      <c r="J94" t="s">
        <v>114</v>
      </c>
      <c r="L94" t="s">
        <v>114</v>
      </c>
      <c r="M94" s="53" t="s">
        <v>115</v>
      </c>
      <c r="N94" s="28" t="s">
        <v>2057</v>
      </c>
      <c r="O94" s="34"/>
      <c r="P94" s="51"/>
    </row>
    <row r="95" spans="2:16" x14ac:dyDescent="0.25">
      <c r="B95" t="s">
        <v>2145</v>
      </c>
      <c r="C95" t="s">
        <v>114</v>
      </c>
      <c r="D95" s="19">
        <v>1.6232980980601969E-2</v>
      </c>
      <c r="E95" s="19">
        <v>3.1837427518422228E-3</v>
      </c>
      <c r="I95" t="s">
        <v>116</v>
      </c>
      <c r="J95" t="s">
        <v>114</v>
      </c>
      <c r="L95" t="s">
        <v>114</v>
      </c>
      <c r="M95" s="54" t="s">
        <v>116</v>
      </c>
      <c r="N95" s="28" t="s">
        <v>2071</v>
      </c>
      <c r="O95" s="34" t="s">
        <v>116</v>
      </c>
      <c r="P95" s="51"/>
    </row>
    <row r="96" spans="2:16" x14ac:dyDescent="0.25">
      <c r="B96" t="s">
        <v>2146</v>
      </c>
      <c r="C96" t="s">
        <v>114</v>
      </c>
      <c r="D96" s="19">
        <v>1.350844637351844E-2</v>
      </c>
      <c r="E96" s="19">
        <v>2.6493851179725737E-3</v>
      </c>
      <c r="I96" t="s">
        <v>115</v>
      </c>
      <c r="J96" t="s">
        <v>114</v>
      </c>
      <c r="L96" t="s">
        <v>114</v>
      </c>
      <c r="M96" s="53" t="s">
        <v>115</v>
      </c>
      <c r="N96" s="28" t="s">
        <v>2057</v>
      </c>
      <c r="O96" s="34"/>
      <c r="P96" s="51"/>
    </row>
    <row r="97" spans="2:16" x14ac:dyDescent="0.25">
      <c r="B97" t="s">
        <v>2147</v>
      </c>
      <c r="C97" t="s">
        <v>114</v>
      </c>
      <c r="D97" s="19">
        <v>1.1234371752454899E-2</v>
      </c>
      <c r="E97" s="19">
        <v>2.2033753185025252E-3</v>
      </c>
      <c r="I97" t="s">
        <v>116</v>
      </c>
      <c r="J97" t="s">
        <v>114</v>
      </c>
      <c r="L97" t="s">
        <v>114</v>
      </c>
      <c r="M97" s="54" t="s">
        <v>116</v>
      </c>
      <c r="N97" s="28" t="s">
        <v>2071</v>
      </c>
      <c r="O97" s="34"/>
      <c r="P97" s="51"/>
    </row>
    <row r="98" spans="2:16" x14ac:dyDescent="0.25">
      <c r="B98" t="s">
        <v>2148</v>
      </c>
      <c r="C98" t="s">
        <v>114</v>
      </c>
      <c r="D98" s="19">
        <v>9.889914384007643E-3</v>
      </c>
      <c r="E98" s="19">
        <v>1.9396895292399241E-3</v>
      </c>
      <c r="I98" s="49" t="s">
        <v>119</v>
      </c>
      <c r="J98" t="s">
        <v>114</v>
      </c>
      <c r="L98" t="s">
        <v>114</v>
      </c>
      <c r="M98" s="53" t="s">
        <v>119</v>
      </c>
      <c r="N98" s="28" t="s">
        <v>2057</v>
      </c>
      <c r="O98" s="34"/>
      <c r="P98" s="51"/>
    </row>
    <row r="99" spans="2:16" x14ac:dyDescent="0.25">
      <c r="B99" t="s">
        <v>2149</v>
      </c>
      <c r="C99" t="s">
        <v>114</v>
      </c>
      <c r="D99" s="19">
        <v>9.396530409099324E-3</v>
      </c>
      <c r="E99" s="19">
        <v>1.8429230970075114E-3</v>
      </c>
      <c r="I99" t="s">
        <v>116</v>
      </c>
      <c r="J99" t="s">
        <v>114</v>
      </c>
      <c r="L99" t="s">
        <v>114</v>
      </c>
      <c r="M99" s="54" t="s">
        <v>116</v>
      </c>
      <c r="N99" s="28" t="s">
        <v>2071</v>
      </c>
      <c r="O99" s="34"/>
      <c r="P99" s="51"/>
    </row>
    <row r="100" spans="2:16" x14ac:dyDescent="0.25">
      <c r="B100" t="s">
        <v>2150</v>
      </c>
      <c r="C100" t="s">
        <v>114</v>
      </c>
      <c r="D100" s="19">
        <v>9.1393168720917614E-3</v>
      </c>
      <c r="E100" s="19">
        <v>1.7924763099939557E-3</v>
      </c>
      <c r="I100" t="s">
        <v>115</v>
      </c>
      <c r="J100" t="s">
        <v>114</v>
      </c>
      <c r="L100" t="s">
        <v>114</v>
      </c>
      <c r="M100" s="53" t="s">
        <v>115</v>
      </c>
      <c r="N100" s="28" t="s">
        <v>2057</v>
      </c>
      <c r="O100" s="34"/>
      <c r="P100" s="51"/>
    </row>
    <row r="101" spans="2:16" x14ac:dyDescent="0.25">
      <c r="B101" t="s">
        <v>2151</v>
      </c>
      <c r="C101" t="s">
        <v>114</v>
      </c>
      <c r="D101" s="19">
        <v>8.6151391732755579E-3</v>
      </c>
      <c r="E101" s="19">
        <v>1.6896703650305718E-3</v>
      </c>
      <c r="I101" s="49" t="s">
        <v>119</v>
      </c>
      <c r="J101" t="s">
        <v>114</v>
      </c>
      <c r="L101" t="s">
        <v>114</v>
      </c>
      <c r="M101" s="54" t="s">
        <v>115</v>
      </c>
      <c r="N101" s="28" t="s">
        <v>2057</v>
      </c>
      <c r="O101" s="34"/>
      <c r="P101" s="51"/>
    </row>
    <row r="102" spans="2:16" x14ac:dyDescent="0.25">
      <c r="B102" t="s">
        <v>2152</v>
      </c>
      <c r="C102" t="s">
        <v>114</v>
      </c>
      <c r="D102" s="19">
        <v>8.4891913085093848E-3</v>
      </c>
      <c r="E102" s="19">
        <v>1.6649684571038343E-3</v>
      </c>
      <c r="I102" t="s">
        <v>116</v>
      </c>
      <c r="J102" t="s">
        <v>114</v>
      </c>
      <c r="L102" t="s">
        <v>114</v>
      </c>
      <c r="M102" s="53" t="s">
        <v>116</v>
      </c>
      <c r="N102" s="28" t="s">
        <v>2071</v>
      </c>
      <c r="O102" s="34"/>
      <c r="P102" s="51"/>
    </row>
    <row r="103" spans="2:16" x14ac:dyDescent="0.25">
      <c r="B103" t="s">
        <v>2153</v>
      </c>
      <c r="C103" t="s">
        <v>114</v>
      </c>
      <c r="D103" s="19">
        <v>7.9464012835299275E-3</v>
      </c>
      <c r="E103" s="19">
        <v>1.5585121130801674E-3</v>
      </c>
      <c r="I103" t="s">
        <v>115</v>
      </c>
      <c r="J103" t="s">
        <v>114</v>
      </c>
      <c r="L103" t="s">
        <v>114</v>
      </c>
      <c r="M103" s="54" t="s">
        <v>115</v>
      </c>
      <c r="N103" s="28" t="s">
        <v>2057</v>
      </c>
      <c r="O103" s="34"/>
      <c r="P103" s="51"/>
    </row>
    <row r="104" spans="2:16" x14ac:dyDescent="0.25">
      <c r="B104" t="s">
        <v>2154</v>
      </c>
      <c r="C104" t="s">
        <v>114</v>
      </c>
      <c r="D104" s="19">
        <v>7.3729591330664824E-3</v>
      </c>
      <c r="E104" s="19">
        <v>1.4460440277469517E-3</v>
      </c>
      <c r="I104" t="s">
        <v>115</v>
      </c>
      <c r="J104" t="s">
        <v>114</v>
      </c>
      <c r="L104" t="s">
        <v>114</v>
      </c>
      <c r="M104" s="53" t="s">
        <v>115</v>
      </c>
      <c r="N104" s="28" t="s">
        <v>2057</v>
      </c>
      <c r="O104" s="34"/>
      <c r="P104" s="51"/>
    </row>
    <row r="105" spans="2:16" x14ac:dyDescent="0.25">
      <c r="B105" t="s">
        <v>2155</v>
      </c>
      <c r="C105" t="s">
        <v>114</v>
      </c>
      <c r="D105" s="19">
        <v>6.8686760128077043E-3</v>
      </c>
      <c r="E105" s="19">
        <v>1.347139967493397E-3</v>
      </c>
      <c r="I105" t="s">
        <v>115</v>
      </c>
      <c r="J105" t="s">
        <v>114</v>
      </c>
      <c r="L105" t="s">
        <v>114</v>
      </c>
      <c r="M105" s="54" t="s">
        <v>115</v>
      </c>
      <c r="N105" s="28" t="s">
        <v>2057</v>
      </c>
      <c r="O105" s="34"/>
      <c r="P105" s="51"/>
    </row>
    <row r="106" spans="2:16" x14ac:dyDescent="0.25">
      <c r="B106" t="s">
        <v>2156</v>
      </c>
      <c r="C106" t="s">
        <v>114</v>
      </c>
      <c r="D106" s="19">
        <v>6.7729987444389095E-3</v>
      </c>
      <c r="E106" s="19">
        <v>1.3283749723240429E-3</v>
      </c>
      <c r="I106" t="s">
        <v>115</v>
      </c>
      <c r="J106" t="s">
        <v>114</v>
      </c>
      <c r="L106" t="s">
        <v>114</v>
      </c>
      <c r="M106" s="53" t="s">
        <v>115</v>
      </c>
      <c r="N106" s="28" t="s">
        <v>2057</v>
      </c>
      <c r="O106" s="34"/>
      <c r="P106" s="51"/>
    </row>
    <row r="107" spans="2:16" x14ac:dyDescent="0.25">
      <c r="B107" t="s">
        <v>2157</v>
      </c>
      <c r="C107" t="s">
        <v>114</v>
      </c>
      <c r="D107" s="19">
        <v>6.4280099177738744E-3</v>
      </c>
      <c r="E107" s="19">
        <v>1.2607129897421704E-3</v>
      </c>
      <c r="I107" t="s">
        <v>117</v>
      </c>
      <c r="J107" t="s">
        <v>114</v>
      </c>
      <c r="L107" t="s">
        <v>114</v>
      </c>
      <c r="M107" s="54" t="s">
        <v>117</v>
      </c>
      <c r="N107" s="28" t="s">
        <v>2071</v>
      </c>
      <c r="O107" s="34"/>
      <c r="P107" s="51"/>
    </row>
    <row r="108" spans="2:16" x14ac:dyDescent="0.25">
      <c r="B108" t="s">
        <v>2158</v>
      </c>
      <c r="C108" t="s">
        <v>114</v>
      </c>
      <c r="D108" s="19">
        <v>6.1627213373146731E-3</v>
      </c>
      <c r="E108" s="19">
        <v>1.2086824602791724E-3</v>
      </c>
      <c r="I108" t="s">
        <v>116</v>
      </c>
      <c r="J108" t="s">
        <v>114</v>
      </c>
      <c r="L108" t="s">
        <v>114</v>
      </c>
      <c r="M108" s="53" t="s">
        <v>116</v>
      </c>
      <c r="N108" s="28" t="s">
        <v>2071</v>
      </c>
      <c r="O108" s="34"/>
      <c r="P108" s="51"/>
    </row>
    <row r="109" spans="2:16" x14ac:dyDescent="0.25">
      <c r="B109" t="s">
        <v>2159</v>
      </c>
      <c r="C109" t="s">
        <v>114</v>
      </c>
      <c r="D109" s="19">
        <v>5.9299571281665317E-3</v>
      </c>
      <c r="E109" s="19">
        <v>1.1630308720311955E-3</v>
      </c>
      <c r="I109" t="s">
        <v>119</v>
      </c>
      <c r="J109" t="s">
        <v>114</v>
      </c>
      <c r="L109" t="s">
        <v>114</v>
      </c>
      <c r="M109" s="54" t="s">
        <v>115</v>
      </c>
      <c r="N109" s="28" t="s">
        <v>2057</v>
      </c>
      <c r="O109" s="34"/>
      <c r="P109" s="51"/>
    </row>
    <row r="110" spans="2:16" x14ac:dyDescent="0.25">
      <c r="B110" t="s">
        <v>2160</v>
      </c>
      <c r="C110" t="s">
        <v>114</v>
      </c>
      <c r="D110" s="19">
        <v>5.8978693519958171E-3</v>
      </c>
      <c r="E110" s="19">
        <v>1.1567375593655596E-3</v>
      </c>
      <c r="I110" t="s">
        <v>116</v>
      </c>
      <c r="J110" t="s">
        <v>114</v>
      </c>
      <c r="L110" t="s">
        <v>114</v>
      </c>
      <c r="M110" s="53" t="s">
        <v>116</v>
      </c>
      <c r="N110" s="28" t="s">
        <v>2071</v>
      </c>
      <c r="O110" s="58" t="s">
        <v>116</v>
      </c>
      <c r="P110" s="51"/>
    </row>
    <row r="111" spans="2:16" x14ac:dyDescent="0.25">
      <c r="B111" t="s">
        <v>2161</v>
      </c>
      <c r="C111" t="s">
        <v>114</v>
      </c>
      <c r="D111" s="19">
        <v>5.6103458856953496E-3</v>
      </c>
      <c r="E111" s="19">
        <v>1.1003461453108923E-3</v>
      </c>
      <c r="I111" t="s">
        <v>115</v>
      </c>
      <c r="J111" t="s">
        <v>114</v>
      </c>
      <c r="L111" t="s">
        <v>114</v>
      </c>
      <c r="M111" s="54" t="s">
        <v>115</v>
      </c>
      <c r="N111" s="28" t="s">
        <v>2057</v>
      </c>
      <c r="O111" s="34"/>
      <c r="P111" s="51"/>
    </row>
    <row r="112" spans="2:16" x14ac:dyDescent="0.25">
      <c r="B112" t="s">
        <v>2162</v>
      </c>
      <c r="C112" t="s">
        <v>114</v>
      </c>
      <c r="D112" s="19">
        <v>5.3214497013409981E-3</v>
      </c>
      <c r="E112" s="19">
        <v>1.0436855027541035E-3</v>
      </c>
      <c r="I112" t="s">
        <v>118</v>
      </c>
      <c r="J112" t="s">
        <v>114</v>
      </c>
      <c r="L112" t="s">
        <v>124</v>
      </c>
      <c r="M112" s="53" t="s">
        <v>118</v>
      </c>
      <c r="N112" s="28" t="s">
        <v>2057</v>
      </c>
      <c r="O112" s="34"/>
      <c r="P112" s="51"/>
    </row>
    <row r="113" spans="2:16" x14ac:dyDescent="0.25">
      <c r="B113" t="s">
        <v>2163</v>
      </c>
      <c r="C113" t="s">
        <v>114</v>
      </c>
      <c r="D113" s="19">
        <v>5.3068689969692356E-3</v>
      </c>
      <c r="E113" s="19">
        <v>1.0408258177759823E-3</v>
      </c>
      <c r="I113" t="s">
        <v>116</v>
      </c>
      <c r="J113" t="s">
        <v>114</v>
      </c>
      <c r="L113" t="s">
        <v>114</v>
      </c>
      <c r="M113" s="54" t="s">
        <v>116</v>
      </c>
      <c r="N113" s="28" t="s">
        <v>2071</v>
      </c>
      <c r="O113" s="34"/>
      <c r="P113" s="51"/>
    </row>
    <row r="114" spans="2:16" x14ac:dyDescent="0.25">
      <c r="B114" t="s">
        <v>2164</v>
      </c>
      <c r="C114" t="s">
        <v>114</v>
      </c>
      <c r="D114" s="19">
        <v>5.2570145518890925E-3</v>
      </c>
      <c r="E114" s="19">
        <v>1.0310479631502243E-3</v>
      </c>
      <c r="I114" t="s">
        <v>115</v>
      </c>
      <c r="J114" t="s">
        <v>114</v>
      </c>
      <c r="L114" t="s">
        <v>114</v>
      </c>
      <c r="M114" s="53" t="s">
        <v>115</v>
      </c>
      <c r="N114" s="28" t="s">
        <v>2057</v>
      </c>
      <c r="O114" s="34"/>
      <c r="P114" s="51"/>
    </row>
    <row r="115" spans="2:16" x14ac:dyDescent="0.25">
      <c r="B115" t="s">
        <v>2165</v>
      </c>
      <c r="C115" t="s">
        <v>114</v>
      </c>
      <c r="D115" s="19">
        <v>5.2249582420348002E-3</v>
      </c>
      <c r="E115" s="19">
        <v>1.0247608219115713E-3</v>
      </c>
      <c r="I115" t="s">
        <v>115</v>
      </c>
      <c r="J115" t="s">
        <v>114</v>
      </c>
      <c r="L115" t="s">
        <v>114</v>
      </c>
      <c r="M115" s="54" t="s">
        <v>115</v>
      </c>
      <c r="N115" s="28" t="s">
        <v>2057</v>
      </c>
      <c r="O115" s="34"/>
      <c r="P115" s="51"/>
    </row>
    <row r="116" spans="2:16" x14ac:dyDescent="0.25">
      <c r="B116" t="s">
        <v>2166</v>
      </c>
      <c r="C116" t="s">
        <v>114</v>
      </c>
      <c r="D116" s="19">
        <v>4.8398183956160695E-3</v>
      </c>
      <c r="E116" s="19">
        <v>9.4922409849973921E-4</v>
      </c>
      <c r="I116" t="s">
        <v>116</v>
      </c>
      <c r="J116" t="s">
        <v>114</v>
      </c>
      <c r="L116" t="s">
        <v>114</v>
      </c>
      <c r="M116" s="53" t="s">
        <v>116</v>
      </c>
      <c r="N116" s="28" t="s">
        <v>2071</v>
      </c>
      <c r="O116" s="34"/>
      <c r="P116" s="51"/>
    </row>
    <row r="117" spans="2:16" x14ac:dyDescent="0.25">
      <c r="B117" t="s">
        <v>2167</v>
      </c>
      <c r="C117" t="s">
        <v>114</v>
      </c>
      <c r="D117" s="19">
        <v>4.7729092070355325E-3</v>
      </c>
      <c r="E117" s="19">
        <v>9.3610133044934318E-4</v>
      </c>
      <c r="I117" t="s">
        <v>115</v>
      </c>
      <c r="J117" t="s">
        <v>114</v>
      </c>
      <c r="L117" t="s">
        <v>114</v>
      </c>
      <c r="M117" s="54" t="s">
        <v>115</v>
      </c>
      <c r="N117" s="28" t="s">
        <v>2057</v>
      </c>
      <c r="O117" s="34"/>
      <c r="P117" s="51"/>
    </row>
    <row r="118" spans="2:16" x14ac:dyDescent="0.25">
      <c r="B118" t="s">
        <v>2168</v>
      </c>
      <c r="C118" t="s">
        <v>114</v>
      </c>
      <c r="D118" s="19">
        <v>4.4940861772255793E-3</v>
      </c>
      <c r="E118" s="19">
        <v>8.8141631595539986E-4</v>
      </c>
      <c r="I118" t="s">
        <v>118</v>
      </c>
      <c r="J118" t="s">
        <v>114</v>
      </c>
      <c r="L118" t="s">
        <v>114</v>
      </c>
      <c r="M118" s="53" t="s">
        <v>118</v>
      </c>
      <c r="N118" s="28" t="s">
        <v>2057</v>
      </c>
      <c r="O118" s="34"/>
      <c r="P118" s="51"/>
    </row>
    <row r="119" spans="2:16" x14ac:dyDescent="0.25">
      <c r="B119" t="s">
        <v>2169</v>
      </c>
      <c r="C119" t="s">
        <v>114</v>
      </c>
      <c r="D119" s="19">
        <v>4.4245652843820666E-3</v>
      </c>
      <c r="E119" s="19">
        <v>8.6778131946543748E-4</v>
      </c>
      <c r="I119" t="s">
        <v>115</v>
      </c>
      <c r="J119" t="s">
        <v>114</v>
      </c>
      <c r="L119" t="s">
        <v>114</v>
      </c>
      <c r="M119" s="54" t="s">
        <v>115</v>
      </c>
      <c r="N119" s="28" t="s">
        <v>2057</v>
      </c>
      <c r="O119" s="34"/>
      <c r="P119" s="51"/>
    </row>
    <row r="120" spans="2:16" x14ac:dyDescent="0.25">
      <c r="B120" t="s">
        <v>2170</v>
      </c>
      <c r="C120" t="s">
        <v>114</v>
      </c>
      <c r="D120" s="19">
        <v>4.3295527419476738E-3</v>
      </c>
      <c r="E120" s="19">
        <v>8.4914669569109344E-4</v>
      </c>
      <c r="J120" t="s">
        <v>114</v>
      </c>
      <c r="L120" t="s">
        <v>114</v>
      </c>
      <c r="M120" s="53" t="s">
        <v>115</v>
      </c>
      <c r="N120" s="28" t="s">
        <v>2057</v>
      </c>
      <c r="O120" s="34"/>
      <c r="P120" s="51"/>
    </row>
    <row r="121" spans="2:16" x14ac:dyDescent="0.25">
      <c r="B121" t="s">
        <v>2171</v>
      </c>
      <c r="C121" t="s">
        <v>114</v>
      </c>
      <c r="D121" s="19">
        <v>4.0968239324055073E-3</v>
      </c>
      <c r="E121" s="19">
        <v>8.0350205029847219E-4</v>
      </c>
      <c r="J121" t="s">
        <v>114</v>
      </c>
      <c r="L121" t="s">
        <v>114</v>
      </c>
      <c r="M121" s="54" t="s">
        <v>116</v>
      </c>
      <c r="N121" s="28" t="s">
        <v>2057</v>
      </c>
      <c r="O121" s="34"/>
      <c r="P121" s="51"/>
    </row>
    <row r="122" spans="2:16" x14ac:dyDescent="0.25">
      <c r="B122" t="s">
        <v>2172</v>
      </c>
      <c r="C122" t="s">
        <v>114</v>
      </c>
      <c r="D122" s="19">
        <v>4.0875177693238804E-3</v>
      </c>
      <c r="E122" s="19">
        <v>8.0167685076833065E-4</v>
      </c>
      <c r="J122" t="s">
        <v>114</v>
      </c>
      <c r="L122" t="s">
        <v>114</v>
      </c>
      <c r="M122" s="53" t="s">
        <v>115</v>
      </c>
      <c r="N122" s="28" t="s">
        <v>2057</v>
      </c>
      <c r="O122" s="34"/>
      <c r="P122" s="51"/>
    </row>
    <row r="123" spans="2:16" x14ac:dyDescent="0.25">
      <c r="B123" t="s">
        <v>2173</v>
      </c>
      <c r="C123" t="s">
        <v>114</v>
      </c>
      <c r="D123" s="19">
        <v>3.7735625972294433E-3</v>
      </c>
      <c r="E123" s="19">
        <v>7.4010143804817267E-4</v>
      </c>
      <c r="J123" t="s">
        <v>114</v>
      </c>
      <c r="L123" t="s">
        <v>114</v>
      </c>
      <c r="M123" s="54" t="s">
        <v>117</v>
      </c>
      <c r="N123" s="28" t="s">
        <v>2071</v>
      </c>
      <c r="O123" s="34"/>
      <c r="P123" s="51"/>
    </row>
    <row r="124" spans="2:16" x14ac:dyDescent="0.25">
      <c r="B124" t="s">
        <v>2174</v>
      </c>
      <c r="C124" t="s">
        <v>114</v>
      </c>
      <c r="D124" s="19">
        <v>3.7254977988957676E-3</v>
      </c>
      <c r="E124" s="19">
        <v>7.306745833320573E-4</v>
      </c>
      <c r="J124" t="s">
        <v>114</v>
      </c>
      <c r="L124" t="s">
        <v>114</v>
      </c>
      <c r="M124" s="53" t="s">
        <v>116</v>
      </c>
      <c r="N124" s="28" t="s">
        <v>2071</v>
      </c>
      <c r="O124" s="34"/>
      <c r="P124" s="51"/>
    </row>
    <row r="125" spans="2:16" x14ac:dyDescent="0.25">
      <c r="B125" t="s">
        <v>2175</v>
      </c>
      <c r="C125" t="s">
        <v>114</v>
      </c>
      <c r="D125" s="19">
        <v>3.4293486286062851E-3</v>
      </c>
      <c r="E125" s="19">
        <v>6.725914268557498E-4</v>
      </c>
      <c r="J125" t="s">
        <v>114</v>
      </c>
      <c r="L125" t="s">
        <v>124</v>
      </c>
      <c r="M125" s="54" t="s">
        <v>117</v>
      </c>
      <c r="N125" s="28" t="s">
        <v>2071</v>
      </c>
      <c r="O125" s="34"/>
      <c r="P125" s="51"/>
    </row>
    <row r="126" spans="2:16" x14ac:dyDescent="0.25">
      <c r="B126" t="s">
        <v>2176</v>
      </c>
      <c r="C126" t="s">
        <v>114</v>
      </c>
      <c r="D126" s="19">
        <v>3.3160069568564316E-3</v>
      </c>
      <c r="E126" s="19">
        <v>6.5036194686396735E-4</v>
      </c>
      <c r="J126" t="s">
        <v>114</v>
      </c>
      <c r="L126" t="s">
        <v>114</v>
      </c>
      <c r="M126" s="53" t="s">
        <v>115</v>
      </c>
      <c r="N126" s="28" t="s">
        <v>2057</v>
      </c>
      <c r="O126" s="34"/>
      <c r="P126" s="51"/>
    </row>
    <row r="127" spans="2:16" x14ac:dyDescent="0.25">
      <c r="B127" t="s">
        <v>2177</v>
      </c>
      <c r="C127" t="s">
        <v>114</v>
      </c>
      <c r="D127" s="19">
        <v>3.2273388104705021E-3</v>
      </c>
      <c r="E127" s="19">
        <v>6.329716370550157E-4</v>
      </c>
      <c r="J127" t="s">
        <v>114</v>
      </c>
      <c r="L127" t="s">
        <v>114</v>
      </c>
      <c r="M127" s="54" t="s">
        <v>115</v>
      </c>
      <c r="N127" s="28" t="s">
        <v>2057</v>
      </c>
      <c r="O127" s="34"/>
      <c r="P127" s="51"/>
    </row>
    <row r="128" spans="2:16" x14ac:dyDescent="0.25">
      <c r="B128" t="s">
        <v>2178</v>
      </c>
      <c r="C128" t="s">
        <v>114</v>
      </c>
      <c r="D128" s="19">
        <v>2.6973162433790252E-3</v>
      </c>
      <c r="E128" s="19">
        <v>5.2901934952959031E-4</v>
      </c>
      <c r="J128" t="s">
        <v>114</v>
      </c>
      <c r="L128" t="s">
        <v>114</v>
      </c>
      <c r="M128" s="53" t="s">
        <v>116</v>
      </c>
      <c r="N128" s="28" t="s">
        <v>2071</v>
      </c>
      <c r="O128" s="34"/>
      <c r="P128" s="51"/>
    </row>
    <row r="129" spans="2:16" x14ac:dyDescent="0.25">
      <c r="B129" t="s">
        <v>2179</v>
      </c>
      <c r="C129" t="s">
        <v>114</v>
      </c>
      <c r="D129" s="19">
        <v>2.4029921194419837E-3</v>
      </c>
      <c r="E129" s="19">
        <v>4.7129413581828102E-4</v>
      </c>
      <c r="J129" t="s">
        <v>114</v>
      </c>
      <c r="L129" t="s">
        <v>114</v>
      </c>
      <c r="M129" s="54" t="s">
        <v>117</v>
      </c>
      <c r="N129" s="28" t="s">
        <v>2071</v>
      </c>
      <c r="O129" s="34"/>
      <c r="P129" s="51"/>
    </row>
    <row r="130" spans="2:16" x14ac:dyDescent="0.25">
      <c r="B130" t="s">
        <v>2180</v>
      </c>
      <c r="C130" t="s">
        <v>114</v>
      </c>
      <c r="D130" s="19">
        <v>2.3055724038013549E-3</v>
      </c>
      <c r="E130" s="19">
        <v>4.5218739787975844E-4</v>
      </c>
      <c r="J130" t="s">
        <v>114</v>
      </c>
      <c r="L130" t="s">
        <v>124</v>
      </c>
      <c r="M130" s="53" t="s">
        <v>117</v>
      </c>
      <c r="N130" s="28" t="s">
        <v>2071</v>
      </c>
      <c r="O130" s="34"/>
      <c r="P130" s="51"/>
    </row>
    <row r="131" spans="2:16" x14ac:dyDescent="0.25">
      <c r="B131" t="s">
        <v>2181</v>
      </c>
      <c r="C131" t="s">
        <v>114</v>
      </c>
      <c r="D131" s="19">
        <v>2.200077644709086E-3</v>
      </c>
      <c r="E131" s="19">
        <v>4.3149691749179355E-4</v>
      </c>
      <c r="J131" t="s">
        <v>114</v>
      </c>
      <c r="L131" t="s">
        <v>124</v>
      </c>
      <c r="M131" s="54" t="s">
        <v>117</v>
      </c>
      <c r="N131" s="28" t="s">
        <v>2071</v>
      </c>
      <c r="O131" s="34"/>
      <c r="P131" s="51"/>
    </row>
    <row r="132" spans="2:16" x14ac:dyDescent="0.25">
      <c r="B132" t="s">
        <v>2182</v>
      </c>
      <c r="C132" t="s">
        <v>114</v>
      </c>
      <c r="D132" s="19">
        <v>2.1564731967281424E-3</v>
      </c>
      <c r="E132" s="19">
        <v>4.2294486255047968E-4</v>
      </c>
      <c r="J132" t="s">
        <v>114</v>
      </c>
      <c r="L132" t="s">
        <v>124</v>
      </c>
      <c r="M132" s="53" t="s">
        <v>117</v>
      </c>
      <c r="N132" s="28" t="s">
        <v>2071</v>
      </c>
      <c r="O132" s="34"/>
      <c r="P132" s="51"/>
    </row>
    <row r="133" spans="2:16" x14ac:dyDescent="0.25">
      <c r="B133" t="s">
        <v>2183</v>
      </c>
      <c r="C133" t="s">
        <v>114</v>
      </c>
      <c r="D133" s="19">
        <v>1.8425022914754943E-3</v>
      </c>
      <c r="E133" s="19">
        <v>3.6136636411683028E-4</v>
      </c>
      <c r="J133" t="s">
        <v>114</v>
      </c>
      <c r="L133" t="s">
        <v>124</v>
      </c>
      <c r="M133" s="54" t="s">
        <v>117</v>
      </c>
      <c r="N133" s="28" t="s">
        <v>2071</v>
      </c>
      <c r="O133" s="34"/>
      <c r="P133" s="51"/>
    </row>
    <row r="134" spans="2:16" x14ac:dyDescent="0.25">
      <c r="B134" t="s">
        <v>2184</v>
      </c>
      <c r="C134" t="s">
        <v>114</v>
      </c>
      <c r="D134" s="19">
        <v>1.8182850276996807E-3</v>
      </c>
      <c r="E134" s="19">
        <v>3.5661667962524907E-4</v>
      </c>
      <c r="J134" t="s">
        <v>114</v>
      </c>
      <c r="L134" t="s">
        <v>114</v>
      </c>
      <c r="M134" s="53" t="s">
        <v>115</v>
      </c>
      <c r="N134" s="28" t="s">
        <v>2057</v>
      </c>
      <c r="O134" s="34"/>
      <c r="P134" s="51"/>
    </row>
    <row r="135" spans="2:16" x14ac:dyDescent="0.25">
      <c r="B135" t="s">
        <v>2185</v>
      </c>
      <c r="C135" t="s">
        <v>114</v>
      </c>
      <c r="D135" s="19">
        <v>1.8119248984930067E-3</v>
      </c>
      <c r="E135" s="19">
        <v>3.5536927994636537E-4</v>
      </c>
      <c r="J135" t="s">
        <v>114</v>
      </c>
      <c r="L135" t="s">
        <v>114</v>
      </c>
      <c r="M135" s="54" t="s">
        <v>116</v>
      </c>
      <c r="N135" s="28" t="s">
        <v>2071</v>
      </c>
      <c r="O135" s="34"/>
      <c r="P135" s="51"/>
    </row>
    <row r="136" spans="2:16" x14ac:dyDescent="0.25">
      <c r="B136" t="s">
        <v>2186</v>
      </c>
      <c r="C136" t="s">
        <v>114</v>
      </c>
      <c r="D136" s="19">
        <v>1.5952989763794872E-3</v>
      </c>
      <c r="E136" s="19">
        <v>3.1288286231215457E-4</v>
      </c>
      <c r="J136" t="s">
        <v>114</v>
      </c>
      <c r="L136" t="s">
        <v>114</v>
      </c>
      <c r="M136" s="53" t="s">
        <v>116</v>
      </c>
      <c r="N136" s="28" t="s">
        <v>2071</v>
      </c>
      <c r="O136" s="34"/>
      <c r="P136" s="51"/>
    </row>
    <row r="137" spans="2:16" x14ac:dyDescent="0.25">
      <c r="B137" t="s">
        <v>2187</v>
      </c>
      <c r="C137" t="s">
        <v>114</v>
      </c>
      <c r="D137" s="19">
        <v>1.5853674202589855E-3</v>
      </c>
      <c r="E137" s="19">
        <v>3.1093500567073138E-4</v>
      </c>
      <c r="J137" t="s">
        <v>114</v>
      </c>
      <c r="L137" t="s">
        <v>114</v>
      </c>
      <c r="M137" s="54" t="s">
        <v>116</v>
      </c>
      <c r="N137" s="28" t="s">
        <v>2071</v>
      </c>
      <c r="O137" s="34"/>
      <c r="P137" s="51"/>
    </row>
    <row r="138" spans="2:16" x14ac:dyDescent="0.25">
      <c r="B138" t="s">
        <v>2188</v>
      </c>
      <c r="C138" t="s">
        <v>114</v>
      </c>
      <c r="D138" s="19">
        <v>1.4625701204245038E-3</v>
      </c>
      <c r="E138" s="19">
        <v>2.8685101187063953E-4</v>
      </c>
      <c r="J138" t="s">
        <v>114</v>
      </c>
      <c r="L138" t="s">
        <v>114</v>
      </c>
      <c r="M138" s="53" t="s">
        <v>116</v>
      </c>
      <c r="N138" s="28" t="s">
        <v>2071</v>
      </c>
      <c r="O138" s="34"/>
      <c r="P138" s="51"/>
    </row>
    <row r="139" spans="2:16" x14ac:dyDescent="0.25">
      <c r="B139" t="s">
        <v>2189</v>
      </c>
      <c r="C139" t="s">
        <v>114</v>
      </c>
      <c r="D139" s="19">
        <v>1.2503416160308737E-3</v>
      </c>
      <c r="E139" s="19">
        <v>2.4522705115726483E-4</v>
      </c>
      <c r="J139" t="s">
        <v>114</v>
      </c>
      <c r="L139" t="s">
        <v>114</v>
      </c>
      <c r="M139" s="54" t="s">
        <v>116</v>
      </c>
      <c r="N139" s="28" t="s">
        <v>2071</v>
      </c>
      <c r="O139" s="34"/>
      <c r="P139" s="51"/>
    </row>
    <row r="140" spans="2:16" x14ac:dyDescent="0.25">
      <c r="B140" t="s">
        <v>2190</v>
      </c>
      <c r="C140" t="s">
        <v>114</v>
      </c>
      <c r="D140" s="19">
        <v>1.2474113153141317E-3</v>
      </c>
      <c r="E140" s="19">
        <v>2.446523370194984E-4</v>
      </c>
      <c r="J140" t="s">
        <v>114</v>
      </c>
      <c r="L140" t="s">
        <v>114</v>
      </c>
      <c r="M140" s="53" t="s">
        <v>116</v>
      </c>
      <c r="N140" s="28" t="s">
        <v>2057</v>
      </c>
      <c r="O140" s="34"/>
      <c r="P140" s="51"/>
    </row>
    <row r="141" spans="2:16" x14ac:dyDescent="0.25">
      <c r="B141" t="s">
        <v>2191</v>
      </c>
      <c r="C141" t="s">
        <v>114</v>
      </c>
      <c r="D141" s="19">
        <v>1.0199177141665739E-3</v>
      </c>
      <c r="E141" s="19">
        <v>2.0003446279112828E-4</v>
      </c>
      <c r="J141" t="s">
        <v>114</v>
      </c>
      <c r="L141" t="s">
        <v>114</v>
      </c>
      <c r="M141" s="54" t="s">
        <v>115</v>
      </c>
      <c r="N141" s="28" t="s">
        <v>2057</v>
      </c>
      <c r="O141" s="34"/>
      <c r="P141" s="51"/>
    </row>
    <row r="142" spans="2:16" x14ac:dyDescent="0.25">
      <c r="B142" t="s">
        <v>2192</v>
      </c>
      <c r="C142" t="s">
        <v>114</v>
      </c>
      <c r="D142" s="19">
        <v>9.0486112817175465E-4</v>
      </c>
      <c r="E142" s="19">
        <v>1.7746864002878723E-4</v>
      </c>
      <c r="J142" t="s">
        <v>114</v>
      </c>
      <c r="L142" t="s">
        <v>114</v>
      </c>
      <c r="M142" s="53" t="s">
        <v>115</v>
      </c>
      <c r="N142" s="28" t="s">
        <v>2057</v>
      </c>
      <c r="O142" s="34"/>
      <c r="P142" s="51"/>
    </row>
    <row r="143" spans="2:16" x14ac:dyDescent="0.25">
      <c r="B143" t="s">
        <v>2193</v>
      </c>
      <c r="C143" t="s">
        <v>114</v>
      </c>
      <c r="D143" s="19">
        <v>8.8902963772224182E-4</v>
      </c>
      <c r="E143" s="19">
        <v>1.7436364082810274E-4</v>
      </c>
      <c r="J143" t="s">
        <v>114</v>
      </c>
      <c r="L143" t="s">
        <v>114</v>
      </c>
      <c r="M143" s="54" t="s">
        <v>115</v>
      </c>
      <c r="N143" s="28" t="s">
        <v>2057</v>
      </c>
      <c r="O143" s="34"/>
      <c r="P143" s="51"/>
    </row>
    <row r="144" spans="2:16" x14ac:dyDescent="0.25">
      <c r="B144" t="s">
        <v>2194</v>
      </c>
      <c r="C144" t="s">
        <v>114</v>
      </c>
      <c r="D144" s="19">
        <v>8.4695130608773565E-4</v>
      </c>
      <c r="E144" s="19">
        <v>1.6611090009545116E-4</v>
      </c>
      <c r="J144" t="s">
        <v>114</v>
      </c>
      <c r="L144" t="s">
        <v>114</v>
      </c>
      <c r="M144" s="53" t="s">
        <v>116</v>
      </c>
      <c r="N144" s="28" t="s">
        <v>2071</v>
      </c>
      <c r="O144" s="34"/>
      <c r="P144" s="51"/>
    </row>
    <row r="145" spans="2:16" x14ac:dyDescent="0.25">
      <c r="B145" t="s">
        <v>2195</v>
      </c>
      <c r="C145" t="s">
        <v>114</v>
      </c>
      <c r="D145" s="19">
        <v>7.8951741203959016E-4</v>
      </c>
      <c r="E145" s="19">
        <v>1.5484650299522879E-4</v>
      </c>
      <c r="J145" t="s">
        <v>114</v>
      </c>
      <c r="L145" t="s">
        <v>114</v>
      </c>
      <c r="M145" s="54" t="s">
        <v>119</v>
      </c>
      <c r="N145" s="28" t="s">
        <v>2057</v>
      </c>
      <c r="O145" s="34"/>
      <c r="P145" s="51"/>
    </row>
    <row r="146" spans="2:16" x14ac:dyDescent="0.25">
      <c r="B146" t="s">
        <v>2196</v>
      </c>
      <c r="C146" t="s">
        <v>114</v>
      </c>
      <c r="D146" s="19">
        <v>6.7952690298861494E-4</v>
      </c>
      <c r="E146" s="19">
        <v>1.3327427997710678E-4</v>
      </c>
      <c r="J146" t="s">
        <v>114</v>
      </c>
      <c r="L146" t="s">
        <v>114</v>
      </c>
      <c r="M146" s="53" t="s">
        <v>116</v>
      </c>
      <c r="N146" s="28" t="s">
        <v>2071</v>
      </c>
      <c r="O146" s="34"/>
      <c r="P146" s="51"/>
    </row>
    <row r="147" spans="2:16" x14ac:dyDescent="0.25">
      <c r="B147" t="s">
        <v>2197</v>
      </c>
      <c r="C147" t="s">
        <v>114</v>
      </c>
      <c r="D147" s="19">
        <v>5.3169028186181072E-4</v>
      </c>
      <c r="E147" s="19">
        <v>1.0427937315550993E-4</v>
      </c>
      <c r="J147" t="s">
        <v>114</v>
      </c>
      <c r="L147" t="s">
        <v>114</v>
      </c>
      <c r="M147" s="54" t="s">
        <v>116</v>
      </c>
      <c r="N147" s="28" t="s">
        <v>2071</v>
      </c>
      <c r="O147" s="34"/>
      <c r="P147" s="51"/>
    </row>
    <row r="148" spans="2:16" x14ac:dyDescent="0.25">
      <c r="B148" t="s">
        <v>2198</v>
      </c>
      <c r="C148" t="s">
        <v>114</v>
      </c>
      <c r="D148" s="19">
        <v>5.1212216633725761E-4</v>
      </c>
      <c r="E148" s="19">
        <v>1.0044151700062662E-4</v>
      </c>
      <c r="J148" t="s">
        <v>114</v>
      </c>
      <c r="L148" t="s">
        <v>114</v>
      </c>
      <c r="M148" s="53" t="s">
        <v>115</v>
      </c>
      <c r="N148" s="28" t="s">
        <v>2057</v>
      </c>
      <c r="O148" s="34"/>
      <c r="P148" s="51"/>
    </row>
    <row r="149" spans="2:16" x14ac:dyDescent="0.25">
      <c r="B149" t="s">
        <v>2199</v>
      </c>
      <c r="C149" t="s">
        <v>114</v>
      </c>
      <c r="D149" s="19">
        <v>4.9330924240681797E-4</v>
      </c>
      <c r="E149" s="19">
        <v>9.6751775093328749E-5</v>
      </c>
      <c r="J149" t="s">
        <v>114</v>
      </c>
      <c r="L149" t="s">
        <v>114</v>
      </c>
      <c r="M149" s="54" t="s">
        <v>115</v>
      </c>
      <c r="N149" s="28" t="s">
        <v>2057</v>
      </c>
      <c r="O149" s="34"/>
      <c r="P149" s="51"/>
    </row>
    <row r="150" spans="2:16" x14ac:dyDescent="0.25">
      <c r="B150" t="s">
        <v>2200</v>
      </c>
      <c r="C150" t="s">
        <v>114</v>
      </c>
      <c r="D150" s="19">
        <v>4.8703564557030303E-4</v>
      </c>
      <c r="E150" s="19">
        <v>9.5521346838647574E-5</v>
      </c>
      <c r="J150" t="s">
        <v>114</v>
      </c>
      <c r="L150" t="s">
        <v>114</v>
      </c>
      <c r="M150" s="53" t="s">
        <v>116</v>
      </c>
      <c r="N150" s="28" t="s">
        <v>2071</v>
      </c>
      <c r="O150" s="34"/>
      <c r="P150" s="51"/>
    </row>
    <row r="151" spans="2:16" x14ac:dyDescent="0.25">
      <c r="B151" t="s">
        <v>2201</v>
      </c>
      <c r="C151" t="s">
        <v>114</v>
      </c>
      <c r="D151" s="19">
        <v>4.3063227338495814E-4</v>
      </c>
      <c r="E151" s="19">
        <v>8.4459063972109537E-5</v>
      </c>
      <c r="J151" t="s">
        <v>114</v>
      </c>
      <c r="L151" t="s">
        <v>114</v>
      </c>
      <c r="M151" s="54" t="s">
        <v>116</v>
      </c>
      <c r="N151" s="28" t="s">
        <v>2071</v>
      </c>
      <c r="O151" s="34"/>
      <c r="P151" s="51"/>
    </row>
    <row r="152" spans="2:16" x14ac:dyDescent="0.25">
      <c r="B152" t="s">
        <v>2202</v>
      </c>
      <c r="C152" t="s">
        <v>114</v>
      </c>
      <c r="D152" s="19">
        <v>3.8404245863353482E-4</v>
      </c>
      <c r="E152" s="19">
        <v>7.5321494895809452E-5</v>
      </c>
      <c r="J152" t="s">
        <v>114</v>
      </c>
      <c r="L152" t="s">
        <v>114</v>
      </c>
      <c r="M152" s="53" t="s">
        <v>116</v>
      </c>
      <c r="N152" s="28" t="s">
        <v>2071</v>
      </c>
      <c r="O152" s="34"/>
      <c r="P152" s="51"/>
    </row>
    <row r="153" spans="2:16" x14ac:dyDescent="0.25">
      <c r="B153" t="s">
        <v>2203</v>
      </c>
      <c r="C153" t="s">
        <v>114</v>
      </c>
      <c r="D153" s="19">
        <v>3.4550802088598783E-4</v>
      </c>
      <c r="E153" s="19">
        <v>6.7763811127087475E-5</v>
      </c>
      <c r="J153" t="s">
        <v>114</v>
      </c>
      <c r="L153" t="s">
        <v>114</v>
      </c>
      <c r="M153" s="54" t="s">
        <v>119</v>
      </c>
      <c r="N153" s="28" t="s">
        <v>2071</v>
      </c>
      <c r="O153" s="34"/>
      <c r="P153" s="51"/>
    </row>
    <row r="154" spans="2:16" x14ac:dyDescent="0.25">
      <c r="B154" t="s">
        <v>2204</v>
      </c>
      <c r="C154" t="s">
        <v>114</v>
      </c>
      <c r="D154" s="19">
        <v>3.125037882495005E-4</v>
      </c>
      <c r="E154" s="19">
        <v>6.1290755650579765E-5</v>
      </c>
      <c r="J154" t="s">
        <v>114</v>
      </c>
      <c r="L154" t="s">
        <v>114</v>
      </c>
      <c r="M154" s="53" t="s">
        <v>116</v>
      </c>
      <c r="N154" s="28" t="s">
        <v>2071</v>
      </c>
      <c r="O154" s="34"/>
      <c r="P154" s="51"/>
    </row>
    <row r="155" spans="2:16" x14ac:dyDescent="0.25">
      <c r="B155" t="s">
        <v>2205</v>
      </c>
      <c r="C155" t="s">
        <v>114</v>
      </c>
      <c r="D155" s="19">
        <v>2.6883640763571392E-4</v>
      </c>
      <c r="E155" s="19">
        <v>5.2726357855300449E-5</v>
      </c>
      <c r="J155" t="s">
        <v>114</v>
      </c>
      <c r="L155" t="s">
        <v>114</v>
      </c>
      <c r="M155" s="54" t="s">
        <v>116</v>
      </c>
      <c r="N155" s="28" t="s">
        <v>2071</v>
      </c>
      <c r="O155" s="34"/>
      <c r="P155" s="51"/>
    </row>
    <row r="156" spans="2:16" x14ac:dyDescent="0.25">
      <c r="B156" t="s">
        <v>2206</v>
      </c>
      <c r="C156" t="s">
        <v>114</v>
      </c>
      <c r="D156" s="19">
        <v>1.8622159387134962E-4</v>
      </c>
      <c r="E156" s="19">
        <v>3.652327631215087E-5</v>
      </c>
      <c r="J156" t="s">
        <v>114</v>
      </c>
      <c r="L156" t="s">
        <v>124</v>
      </c>
      <c r="M156" s="53" t="s">
        <v>118</v>
      </c>
      <c r="N156" s="28" t="s">
        <v>2057</v>
      </c>
      <c r="O156" s="34"/>
      <c r="P156" s="51"/>
    </row>
    <row r="157" spans="2:16" x14ac:dyDescent="0.25">
      <c r="B157" t="s">
        <v>2207</v>
      </c>
      <c r="C157" t="s">
        <v>114</v>
      </c>
      <c r="D157" s="19">
        <v>1.2335189366140871E-4</v>
      </c>
      <c r="E157" s="19">
        <v>2.4192765200662445E-5</v>
      </c>
      <c r="J157" t="s">
        <v>114</v>
      </c>
      <c r="L157" t="s">
        <v>114</v>
      </c>
      <c r="M157" s="54" t="s">
        <v>116</v>
      </c>
      <c r="N157" s="28" t="s">
        <v>2071</v>
      </c>
      <c r="O157" s="34"/>
      <c r="P157" s="51"/>
    </row>
    <row r="158" spans="2:16" x14ac:dyDescent="0.25">
      <c r="B158" t="s">
        <v>2208</v>
      </c>
      <c r="C158" t="s">
        <v>114</v>
      </c>
      <c r="D158" s="19">
        <v>1.2125545032983349E-4</v>
      </c>
      <c r="E158" s="19">
        <v>2.3781593877938263E-5</v>
      </c>
      <c r="J158" t="s">
        <v>114</v>
      </c>
      <c r="L158" t="s">
        <v>114</v>
      </c>
      <c r="M158" s="53" t="s">
        <v>116</v>
      </c>
      <c r="N158" s="28" t="s">
        <v>2071</v>
      </c>
      <c r="O158" s="34"/>
      <c r="P158" s="51"/>
    </row>
    <row r="159" spans="2:16" x14ac:dyDescent="0.25">
      <c r="B159" t="s">
        <v>2209</v>
      </c>
      <c r="C159" t="s">
        <v>114</v>
      </c>
      <c r="D159" s="19">
        <v>8.3177274170396679E-5</v>
      </c>
      <c r="E159" s="19">
        <v>1.6313395800465825E-5</v>
      </c>
      <c r="J159" t="s">
        <v>114</v>
      </c>
      <c r="L159" t="s">
        <v>114</v>
      </c>
      <c r="M159" s="54" t="s">
        <v>118</v>
      </c>
      <c r="N159" s="28" t="s">
        <v>2057</v>
      </c>
      <c r="O159" s="34"/>
      <c r="P159" s="51"/>
    </row>
    <row r="160" spans="2:16" x14ac:dyDescent="0.25">
      <c r="B160" t="s">
        <v>2210</v>
      </c>
      <c r="C160" t="s">
        <v>114</v>
      </c>
      <c r="D160" s="19">
        <v>8.1690490719485919E-5</v>
      </c>
      <c r="E160" s="19">
        <v>1.6021795875531977E-5</v>
      </c>
      <c r="J160" t="s">
        <v>114</v>
      </c>
      <c r="L160" t="s">
        <v>114</v>
      </c>
      <c r="M160" s="53" t="s">
        <v>115</v>
      </c>
      <c r="N160" s="28" t="s">
        <v>2057</v>
      </c>
      <c r="O160" s="34"/>
      <c r="P160" s="51"/>
    </row>
    <row r="161" spans="2:18" x14ac:dyDescent="0.25">
      <c r="B161" t="s">
        <v>2211</v>
      </c>
      <c r="C161" t="s">
        <v>114</v>
      </c>
      <c r="D161" s="19">
        <v>4.5232829855750777E-5</v>
      </c>
      <c r="E161" s="19">
        <v>8.8714262876699756E-6</v>
      </c>
      <c r="J161" t="s">
        <v>114</v>
      </c>
      <c r="L161" t="s">
        <v>124</v>
      </c>
      <c r="M161" s="54" t="s">
        <v>117</v>
      </c>
      <c r="N161" s="28" t="s">
        <v>2071</v>
      </c>
      <c r="O161" s="34"/>
      <c r="P161" s="51"/>
    </row>
    <row r="162" spans="2:18" x14ac:dyDescent="0.25">
      <c r="B162" t="s">
        <v>2212</v>
      </c>
      <c r="C162" t="s">
        <v>114</v>
      </c>
      <c r="D162" s="19">
        <v>4.1299540303076794E-5</v>
      </c>
      <c r="E162" s="19">
        <v>8.0999979148291074E-6</v>
      </c>
      <c r="J162" t="s">
        <v>114</v>
      </c>
      <c r="L162" t="s">
        <v>114</v>
      </c>
      <c r="M162" s="53" t="s">
        <v>116</v>
      </c>
      <c r="N162" s="28" t="s">
        <v>2071</v>
      </c>
      <c r="O162" s="34"/>
      <c r="P162" s="51" t="s">
        <v>106</v>
      </c>
      <c r="Q162" t="s">
        <v>106</v>
      </c>
      <c r="R162" t="s">
        <v>106</v>
      </c>
    </row>
    <row r="163" spans="2:18" x14ac:dyDescent="0.25">
      <c r="B163" t="s">
        <v>2213</v>
      </c>
      <c r="C163" t="s">
        <v>114</v>
      </c>
      <c r="D163" s="19">
        <v>3.2068109722950966E-5</v>
      </c>
      <c r="E163" s="19">
        <v>6.2894555237715922E-6</v>
      </c>
      <c r="J163" t="s">
        <v>114</v>
      </c>
      <c r="M163" s="56" t="s">
        <v>115</v>
      </c>
      <c r="N163" s="28" t="s">
        <v>2057</v>
      </c>
      <c r="O163" s="34"/>
    </row>
    <row r="164" spans="2:18" ht="15" customHeight="1" x14ac:dyDescent="0.25">
      <c r="M164" t="s">
        <v>2214</v>
      </c>
    </row>
    <row r="165" spans="2:18" ht="15" customHeight="1" x14ac:dyDescent="0.25">
      <c r="M165" t="s">
        <v>2215</v>
      </c>
    </row>
  </sheetData>
  <mergeCells count="1">
    <mergeCell ref="F4:L4"/>
  </mergeCells>
  <phoneticPr fontId="11" type="noConversion"/>
  <conditionalFormatting sqref="F6:M7 F8:L20 F21:H73 J21:L73 F74:L163">
    <cfRule type="expression" dxfId="1" priority="2">
      <formula>NOT($C6=F6)</formula>
    </cfRule>
  </conditionalFormatting>
  <conditionalFormatting sqref="O7">
    <cfRule type="expression" dxfId="0" priority="1">
      <formula>NOT($C7=O7)</formula>
    </cfRule>
  </conditionalFormatting>
  <printOptions headings="1"/>
  <pageMargins left="0.7" right="0.7" top="0.75" bottom="0.75" header="0.3" footer="0.3"/>
  <pageSetup paperSize="8" scale="44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W273"/>
  <sheetViews>
    <sheetView topLeftCell="P1" workbookViewId="0">
      <pane ySplit="2" topLeftCell="A181" activePane="bottomLeft" state="frozen"/>
      <selection pane="bottomLeft" activeCell="BC205" sqref="BC205"/>
    </sheetView>
  </sheetViews>
  <sheetFormatPr defaultColWidth="8.85546875" defaultRowHeight="15" x14ac:dyDescent="0.25"/>
  <cols>
    <col min="2" max="2" width="21.7109375" bestFit="1" customWidth="1"/>
    <col min="3" max="3" width="14.7109375" customWidth="1"/>
    <col min="7" max="7" width="12" bestFit="1" customWidth="1"/>
    <col min="8" max="8" width="14" customWidth="1"/>
    <col min="19" max="19" width="14.42578125" customWidth="1"/>
    <col min="24" max="24" width="14.28515625" bestFit="1" customWidth="1"/>
    <col min="27" max="27" width="10.28515625" style="15" customWidth="1"/>
    <col min="28" max="28" width="19.7109375" style="15" bestFit="1" customWidth="1"/>
    <col min="29" max="29" width="15" style="15" bestFit="1" customWidth="1"/>
    <col min="40" max="40" width="14.85546875" customWidth="1"/>
    <col min="44" max="44" width="22.42578125" customWidth="1"/>
    <col min="45" max="45" width="27.28515625" bestFit="1" customWidth="1"/>
  </cols>
  <sheetData>
    <row r="1" spans="1:49" x14ac:dyDescent="0.25">
      <c r="A1" s="21" t="s">
        <v>463</v>
      </c>
      <c r="B1" s="21"/>
      <c r="C1" s="4" t="s">
        <v>462</v>
      </c>
      <c r="H1" s="20" t="s">
        <v>2216</v>
      </c>
      <c r="S1" t="s">
        <v>100</v>
      </c>
      <c r="W1" t="s">
        <v>101</v>
      </c>
      <c r="AA1" s="15" t="s">
        <v>102</v>
      </c>
      <c r="AE1" t="s">
        <v>103</v>
      </c>
      <c r="AJ1" t="s">
        <v>2217</v>
      </c>
      <c r="AQ1" t="s">
        <v>2218</v>
      </c>
    </row>
    <row r="2" spans="1:49" x14ac:dyDescent="0.25">
      <c r="A2" s="17" t="s">
        <v>463</v>
      </c>
      <c r="B2" s="17" t="s">
        <v>2219</v>
      </c>
      <c r="C2" s="3" t="s">
        <v>468</v>
      </c>
      <c r="D2" s="17" t="s">
        <v>469</v>
      </c>
      <c r="E2" s="17" t="s">
        <v>470</v>
      </c>
      <c r="F2" s="17" t="s">
        <v>471</v>
      </c>
      <c r="G2" s="17" t="s">
        <v>2220</v>
      </c>
      <c r="H2" s="17" t="s">
        <v>101</v>
      </c>
      <c r="I2" s="17" t="s">
        <v>102</v>
      </c>
      <c r="J2" s="17" t="s">
        <v>100</v>
      </c>
      <c r="K2" s="17" t="s">
        <v>103</v>
      </c>
      <c r="L2" t="s">
        <v>2217</v>
      </c>
      <c r="O2" s="5"/>
      <c r="S2" s="31" t="s">
        <v>100</v>
      </c>
      <c r="T2" s="31" t="s">
        <v>2221</v>
      </c>
      <c r="U2" s="31" t="s">
        <v>2222</v>
      </c>
      <c r="W2" t="s">
        <v>470</v>
      </c>
      <c r="X2" t="s">
        <v>2223</v>
      </c>
      <c r="Y2" t="s">
        <v>2224</v>
      </c>
      <c r="AA2" s="15" t="s">
        <v>2225</v>
      </c>
      <c r="AB2" s="15" t="s">
        <v>2226</v>
      </c>
      <c r="AC2" s="15" t="s">
        <v>2227</v>
      </c>
      <c r="AE2" t="s">
        <v>2221</v>
      </c>
      <c r="AF2" t="s">
        <v>2228</v>
      </c>
      <c r="AG2" t="s">
        <v>103</v>
      </c>
      <c r="AH2" t="s">
        <v>463</v>
      </c>
      <c r="AJ2" s="28" t="s">
        <v>470</v>
      </c>
      <c r="AK2" s="28" t="s">
        <v>2229</v>
      </c>
      <c r="AL2" s="28" t="s">
        <v>2230</v>
      </c>
      <c r="AM2" s="28" t="s">
        <v>2231</v>
      </c>
      <c r="AN2" s="28" t="s">
        <v>2232</v>
      </c>
      <c r="AO2" s="28" t="s">
        <v>2233</v>
      </c>
      <c r="AQ2" t="s">
        <v>2234</v>
      </c>
      <c r="AR2" t="s">
        <v>2235</v>
      </c>
      <c r="AS2" t="s">
        <v>2236</v>
      </c>
      <c r="AT2" t="s">
        <v>3</v>
      </c>
      <c r="AU2" t="s">
        <v>5</v>
      </c>
      <c r="AV2" t="s">
        <v>6</v>
      </c>
      <c r="AW2" t="s">
        <v>7</v>
      </c>
    </row>
    <row r="3" spans="1:49" x14ac:dyDescent="0.25">
      <c r="A3" s="5" t="s">
        <v>563</v>
      </c>
      <c r="B3" s="5" t="str">
        <f>INDEX(Regions!B:B,MATCH(A3,Regions!A:A,0))</f>
        <v>Australia/New Zealand</v>
      </c>
      <c r="C3" t="s">
        <v>560</v>
      </c>
      <c r="D3" s="5" t="s">
        <v>561</v>
      </c>
      <c r="E3" s="5" t="s">
        <v>562</v>
      </c>
      <c r="F3" s="5">
        <v>36</v>
      </c>
      <c r="G3" s="33">
        <f>INDEX(AW:AW,MATCH(E3,AQ:AQ,0))/INDEX(AW:AW,MATCH("World",AR:AR,0))</f>
        <v>3.2344734103274637E-3</v>
      </c>
      <c r="H3" s="5" t="str">
        <f>IF(INDEX(Y:Y,MATCH(E3,W:W,0))=A3,"",INDEX(Y:Y,MATCH(E3,W:W,0)))</f>
        <v/>
      </c>
      <c r="I3" s="5" t="str">
        <f>IF(INDEX(AC:AC,MATCH(E3,AA:AA,0))=A3,"",INDEX(AC:AC,MATCH(E3,AA:AA,0)))</f>
        <v/>
      </c>
      <c r="J3" s="5" t="str">
        <f>IF(INDEX(U:U,MATCH(E3,T:T,0))=A3,"",INDEX(U:U,MATCH(E3,T:T,0)))</f>
        <v/>
      </c>
      <c r="K3" s="5" t="str">
        <f>IF(INDEX(AH:AH,MATCH(E3,AE:AE,0))=A3,"",INDEX(AH:AH,MATCH(E3,AE:AE,0)))</f>
        <v/>
      </c>
      <c r="O3" s="5"/>
      <c r="S3" s="32" t="e">
        <v>#N/A</v>
      </c>
      <c r="T3" s="32" t="s">
        <v>554</v>
      </c>
      <c r="U3" s="32" t="e">
        <v>#N/A</v>
      </c>
      <c r="W3" t="s">
        <v>539</v>
      </c>
      <c r="X3" t="s">
        <v>537</v>
      </c>
      <c r="Y3" t="s">
        <v>503</v>
      </c>
      <c r="AA3" s="15" t="s">
        <v>476</v>
      </c>
      <c r="AB3" s="15" t="s">
        <v>477</v>
      </c>
      <c r="AC3" s="15" t="s">
        <v>476</v>
      </c>
      <c r="AE3" t="s">
        <v>562</v>
      </c>
      <c r="AF3" t="s">
        <v>2237</v>
      </c>
      <c r="AG3" t="s">
        <v>2238</v>
      </c>
      <c r="AH3" t="s">
        <v>563</v>
      </c>
      <c r="AJ3" s="28" t="s">
        <v>554</v>
      </c>
      <c r="AK3" s="28" t="s">
        <v>2239</v>
      </c>
      <c r="AL3" s="28" t="s">
        <v>503</v>
      </c>
      <c r="AM3" s="28"/>
      <c r="AN3" s="28" t="s">
        <v>9</v>
      </c>
      <c r="AO3" s="28"/>
      <c r="AQ3" t="s">
        <v>480</v>
      </c>
      <c r="AR3" t="s">
        <v>478</v>
      </c>
      <c r="AS3" t="s">
        <v>2240</v>
      </c>
      <c r="AT3" t="s">
        <v>2241</v>
      </c>
      <c r="AU3">
        <v>2014</v>
      </c>
      <c r="AV3" t="s">
        <v>2242</v>
      </c>
      <c r="AW3">
        <v>33370.794000000002</v>
      </c>
    </row>
    <row r="4" spans="1:49" x14ac:dyDescent="0.25">
      <c r="A4" s="5" t="s">
        <v>563</v>
      </c>
      <c r="B4" s="5" t="str">
        <f>INDEX(Regions!B:B,MATCH(A4,Regions!A:A,0))</f>
        <v>Australia/New Zealand</v>
      </c>
      <c r="C4" t="s">
        <v>1264</v>
      </c>
      <c r="D4" s="5" t="s">
        <v>1265</v>
      </c>
      <c r="E4" s="5" t="s">
        <v>1266</v>
      </c>
      <c r="F4" s="5">
        <v>554</v>
      </c>
      <c r="G4" s="33">
        <f t="shared" ref="G4:G67" si="0">INDEX(AW:AW,MATCH(E4,AQ:AQ,0))/INDEX(AW:AW,MATCH("World",AR:AR,0))</f>
        <v>6.2609252285230883E-4</v>
      </c>
      <c r="H4" s="5" t="str">
        <f t="shared" ref="H4:H67" si="1">IF(INDEX(Y:Y,MATCH(E4,W:W,0))=A4,"",INDEX(Y:Y,MATCH(E4,W:W,0)))</f>
        <v/>
      </c>
      <c r="I4" s="5" t="str">
        <f t="shared" ref="I4:I67" si="2">IF(INDEX(AC:AC,MATCH(E4,AA:AA,0))=A4,"",INDEX(AC:AC,MATCH(E4,AA:AA,0)))</f>
        <v/>
      </c>
      <c r="J4" s="5" t="str">
        <f t="shared" ref="J4:J67" si="3">IF(INDEX(U:U,MATCH(E4,T:T,0))=A4,"",INDEX(U:U,MATCH(E4,T:T,0)))</f>
        <v/>
      </c>
      <c r="K4" s="5" t="str">
        <f t="shared" ref="K4:K67" si="4">IF(INDEX(AH:AH,MATCH(E4,AE:AE,0))=A4,"",INDEX(AH:AH,MATCH(E4,AE:AE,0)))</f>
        <v/>
      </c>
      <c r="O4" s="5"/>
      <c r="S4" s="32" t="s">
        <v>2243</v>
      </c>
      <c r="T4" s="32" t="s">
        <v>480</v>
      </c>
      <c r="U4" s="32" t="s">
        <v>481</v>
      </c>
      <c r="W4" t="s">
        <v>562</v>
      </c>
      <c r="X4" t="s">
        <v>560</v>
      </c>
      <c r="Y4" t="s">
        <v>563</v>
      </c>
      <c r="AA4" s="15" t="s">
        <v>2244</v>
      </c>
      <c r="AB4" s="15" t="s">
        <v>486</v>
      </c>
      <c r="AC4" s="15" t="s">
        <v>486</v>
      </c>
      <c r="AE4" t="s">
        <v>2245</v>
      </c>
      <c r="AF4" t="s">
        <v>2237</v>
      </c>
      <c r="AG4" t="s">
        <v>2238</v>
      </c>
      <c r="AH4" t="s">
        <v>563</v>
      </c>
      <c r="AJ4" s="28" t="s">
        <v>480</v>
      </c>
      <c r="AK4" s="28" t="s">
        <v>480</v>
      </c>
      <c r="AL4" s="28" t="s">
        <v>481</v>
      </c>
      <c r="AM4" s="28" t="s">
        <v>613</v>
      </c>
      <c r="AN4" s="28" t="s">
        <v>9</v>
      </c>
      <c r="AO4" s="28"/>
      <c r="AQ4" t="s">
        <v>490</v>
      </c>
      <c r="AR4" t="s">
        <v>488</v>
      </c>
      <c r="AS4" t="s">
        <v>2240</v>
      </c>
      <c r="AT4" t="s">
        <v>2241</v>
      </c>
      <c r="AU4">
        <v>2014</v>
      </c>
      <c r="AV4" t="s">
        <v>2242</v>
      </c>
      <c r="AW4">
        <v>2896.3049999999998</v>
      </c>
    </row>
    <row r="5" spans="1:49" x14ac:dyDescent="0.25">
      <c r="A5" s="5" t="s">
        <v>495</v>
      </c>
      <c r="B5" s="5" t="str">
        <f>INDEX(Regions!B:B,MATCH(A5,Regions!A:A,0))</f>
        <v>Brazil</v>
      </c>
      <c r="C5" t="s">
        <v>496</v>
      </c>
      <c r="D5" s="5" t="s">
        <v>670</v>
      </c>
      <c r="E5" s="5" t="s">
        <v>495</v>
      </c>
      <c r="F5" s="5">
        <v>76</v>
      </c>
      <c r="G5" s="33">
        <f t="shared" si="0"/>
        <v>2.7793784446917793E-2</v>
      </c>
      <c r="H5" s="5" t="str">
        <f t="shared" si="1"/>
        <v/>
      </c>
      <c r="I5" s="5" t="str">
        <f t="shared" si="2"/>
        <v/>
      </c>
      <c r="J5" s="5" t="str">
        <f t="shared" si="3"/>
        <v/>
      </c>
      <c r="K5" s="5" t="str">
        <f t="shared" si="4"/>
        <v/>
      </c>
      <c r="O5" s="5"/>
      <c r="S5" s="32" t="s">
        <v>2246</v>
      </c>
      <c r="T5" s="32" t="s">
        <v>516</v>
      </c>
      <c r="U5" s="32" t="s">
        <v>517</v>
      </c>
      <c r="W5" t="s">
        <v>495</v>
      </c>
      <c r="X5" t="s">
        <v>496</v>
      </c>
      <c r="Y5" t="s">
        <v>495</v>
      </c>
      <c r="AA5" s="15" t="s">
        <v>486</v>
      </c>
      <c r="AB5" s="15" t="s">
        <v>486</v>
      </c>
      <c r="AC5" s="15" t="s">
        <v>486</v>
      </c>
      <c r="AE5" t="s">
        <v>2247</v>
      </c>
      <c r="AF5" t="s">
        <v>2237</v>
      </c>
      <c r="AG5" t="s">
        <v>2238</v>
      </c>
      <c r="AH5" t="s">
        <v>563</v>
      </c>
      <c r="AJ5" s="28" t="s">
        <v>516</v>
      </c>
      <c r="AK5" s="28" t="s">
        <v>516</v>
      </c>
      <c r="AL5" s="28" t="s">
        <v>517</v>
      </c>
      <c r="AM5" s="28" t="s">
        <v>605</v>
      </c>
      <c r="AN5" s="28" t="s">
        <v>9</v>
      </c>
      <c r="AO5" s="28"/>
      <c r="AQ5" t="s">
        <v>499</v>
      </c>
      <c r="AR5" t="s">
        <v>497</v>
      </c>
      <c r="AS5" t="s">
        <v>2240</v>
      </c>
      <c r="AT5" t="s">
        <v>2241</v>
      </c>
      <c r="AU5">
        <v>2014</v>
      </c>
      <c r="AV5" t="s">
        <v>2242</v>
      </c>
      <c r="AW5">
        <v>38923.692000000003</v>
      </c>
    </row>
    <row r="6" spans="1:49" x14ac:dyDescent="0.25">
      <c r="A6" s="5" t="s">
        <v>476</v>
      </c>
      <c r="B6" s="5" t="str">
        <f>INDEX(Regions!B:B,MATCH(A6,Regions!A:A,0))</f>
        <v>Canada</v>
      </c>
      <c r="C6" t="s">
        <v>477</v>
      </c>
      <c r="D6" s="5" t="s">
        <v>724</v>
      </c>
      <c r="E6" s="5" t="s">
        <v>476</v>
      </c>
      <c r="F6" s="5">
        <v>124</v>
      </c>
      <c r="G6" s="33">
        <f t="shared" si="0"/>
        <v>4.888679306807588E-3</v>
      </c>
      <c r="H6" s="5" t="str">
        <f t="shared" si="1"/>
        <v/>
      </c>
      <c r="I6" s="5" t="str">
        <f t="shared" si="2"/>
        <v/>
      </c>
      <c r="J6" s="5" t="str">
        <f t="shared" si="3"/>
        <v/>
      </c>
      <c r="K6" s="5" t="str">
        <f t="shared" si="4"/>
        <v/>
      </c>
      <c r="O6" s="5"/>
      <c r="S6" s="32" t="s">
        <v>2248</v>
      </c>
      <c r="T6" s="32" t="s">
        <v>490</v>
      </c>
      <c r="U6" s="32" t="s">
        <v>491</v>
      </c>
      <c r="W6" t="s">
        <v>476</v>
      </c>
      <c r="X6" t="s">
        <v>477</v>
      </c>
      <c r="Y6" t="s">
        <v>476</v>
      </c>
      <c r="AA6" s="15" t="s">
        <v>2249</v>
      </c>
      <c r="AB6" s="15" t="s">
        <v>486</v>
      </c>
      <c r="AC6" s="15" t="s">
        <v>486</v>
      </c>
      <c r="AE6" t="s">
        <v>2250</v>
      </c>
      <c r="AF6" t="s">
        <v>2237</v>
      </c>
      <c r="AG6" t="s">
        <v>2238</v>
      </c>
      <c r="AH6" t="s">
        <v>563</v>
      </c>
      <c r="AJ6" s="28" t="s">
        <v>524</v>
      </c>
      <c r="AK6" s="28" t="s">
        <v>2239</v>
      </c>
      <c r="AL6" s="28" t="s">
        <v>503</v>
      </c>
      <c r="AM6" s="28"/>
      <c r="AN6" s="28" t="s">
        <v>9</v>
      </c>
      <c r="AO6" s="28"/>
      <c r="AQ6" t="s">
        <v>2251</v>
      </c>
      <c r="AR6" t="s">
        <v>2252</v>
      </c>
      <c r="AS6" t="s">
        <v>2240</v>
      </c>
      <c r="AT6" t="s">
        <v>2241</v>
      </c>
      <c r="AU6">
        <v>2014</v>
      </c>
      <c r="AV6" t="s">
        <v>2242</v>
      </c>
      <c r="AW6">
        <v>55.790999999999997</v>
      </c>
    </row>
    <row r="7" spans="1:49" x14ac:dyDescent="0.25">
      <c r="A7" s="5" t="s">
        <v>542</v>
      </c>
      <c r="B7" s="5" t="str">
        <f>INDEX(Regions!B:B,MATCH(A7,Regions!A:A,0))</f>
        <v>China</v>
      </c>
      <c r="C7" t="s">
        <v>543</v>
      </c>
      <c r="D7" s="5" t="s">
        <v>765</v>
      </c>
      <c r="E7" s="5" t="s">
        <v>542</v>
      </c>
      <c r="F7" s="5">
        <v>156</v>
      </c>
      <c r="G7" s="33">
        <f t="shared" si="0"/>
        <v>0.19610881390277252</v>
      </c>
      <c r="H7" s="5" t="str">
        <f t="shared" si="1"/>
        <v/>
      </c>
      <c r="I7" s="5" t="str">
        <f t="shared" si="2"/>
        <v/>
      </c>
      <c r="J7" s="5" t="str">
        <f t="shared" si="3"/>
        <v/>
      </c>
      <c r="K7" s="5" t="str">
        <f t="shared" si="4"/>
        <v/>
      </c>
      <c r="O7" s="5"/>
      <c r="S7" s="32" t="s">
        <v>2253</v>
      </c>
      <c r="T7" s="32" t="s">
        <v>1596</v>
      </c>
      <c r="U7" s="32" t="s">
        <v>500</v>
      </c>
      <c r="W7" t="s">
        <v>542</v>
      </c>
      <c r="X7" t="s">
        <v>543</v>
      </c>
      <c r="Y7" t="s">
        <v>542</v>
      </c>
      <c r="AA7" s="15" t="s">
        <v>1191</v>
      </c>
      <c r="AB7" s="15" t="s">
        <v>1189</v>
      </c>
      <c r="AC7" s="15" t="s">
        <v>503</v>
      </c>
      <c r="AE7" t="s">
        <v>2254</v>
      </c>
      <c r="AF7" t="s">
        <v>2237</v>
      </c>
      <c r="AG7" t="s">
        <v>2238</v>
      </c>
      <c r="AH7" t="s">
        <v>563</v>
      </c>
      <c r="AJ7" s="28" t="s">
        <v>2255</v>
      </c>
      <c r="AK7" s="28" t="s">
        <v>2256</v>
      </c>
      <c r="AL7" s="28" t="s">
        <v>491</v>
      </c>
      <c r="AM7" s="28"/>
      <c r="AN7" s="28" t="s">
        <v>9</v>
      </c>
      <c r="AO7" s="28" t="s">
        <v>2257</v>
      </c>
      <c r="AQ7" t="s">
        <v>508</v>
      </c>
      <c r="AR7" t="s">
        <v>506</v>
      </c>
      <c r="AS7" t="s">
        <v>2240</v>
      </c>
      <c r="AT7" t="s">
        <v>2241</v>
      </c>
      <c r="AU7">
        <v>2014</v>
      </c>
      <c r="AV7" t="s">
        <v>2242</v>
      </c>
      <c r="AW7">
        <v>79.212999999999994</v>
      </c>
    </row>
    <row r="8" spans="1:49" x14ac:dyDescent="0.25">
      <c r="A8" s="5" t="s">
        <v>542</v>
      </c>
      <c r="B8" s="5" t="str">
        <f>INDEX(Regions!B:B,MATCH(A8,Regions!A:A,0))</f>
        <v>China</v>
      </c>
      <c r="C8" t="s">
        <v>1008</v>
      </c>
      <c r="D8" s="5" t="s">
        <v>1009</v>
      </c>
      <c r="E8" s="5" t="s">
        <v>1010</v>
      </c>
      <c r="F8" s="5">
        <v>344</v>
      </c>
      <c r="G8" s="33">
        <f t="shared" si="0"/>
        <v>9.7798295226687935E-4</v>
      </c>
      <c r="H8" s="5" t="str">
        <f t="shared" si="1"/>
        <v>NotAccounted</v>
      </c>
      <c r="I8" s="5" t="str">
        <f t="shared" si="2"/>
        <v/>
      </c>
      <c r="J8" s="5" t="e">
        <f>IF(INDEX(U:U,MATCH(E8,T:T,0))=A8,"",INDEX(U:U,MATCH(E8,T:T,0)))</f>
        <v>#N/A</v>
      </c>
      <c r="K8" s="5" t="str">
        <f t="shared" si="4"/>
        <v/>
      </c>
      <c r="O8" s="5"/>
      <c r="S8" s="32" t="s">
        <v>539</v>
      </c>
      <c r="T8" s="32" t="s">
        <v>539</v>
      </c>
      <c r="U8" s="32" t="s">
        <v>503</v>
      </c>
      <c r="W8" t="s">
        <v>719</v>
      </c>
      <c r="X8" t="s">
        <v>717</v>
      </c>
      <c r="Y8" t="s">
        <v>517</v>
      </c>
      <c r="AA8" s="15" t="s">
        <v>524</v>
      </c>
      <c r="AB8" s="15" t="s">
        <v>2258</v>
      </c>
      <c r="AC8" s="15" t="s">
        <v>503</v>
      </c>
      <c r="AE8" t="s">
        <v>1266</v>
      </c>
      <c r="AF8" t="s">
        <v>2259</v>
      </c>
      <c r="AG8" t="s">
        <v>2238</v>
      </c>
      <c r="AH8" t="s">
        <v>563</v>
      </c>
      <c r="AJ8" s="28" t="s">
        <v>490</v>
      </c>
      <c r="AK8" s="28" t="s">
        <v>490</v>
      </c>
      <c r="AL8" s="28" t="s">
        <v>491</v>
      </c>
      <c r="AM8" s="28"/>
      <c r="AN8" s="28" t="s">
        <v>9</v>
      </c>
      <c r="AO8" s="28"/>
      <c r="AQ8" t="s">
        <v>516</v>
      </c>
      <c r="AR8" t="s">
        <v>514</v>
      </c>
      <c r="AS8" t="s">
        <v>2240</v>
      </c>
      <c r="AT8" t="s">
        <v>2241</v>
      </c>
      <c r="AU8">
        <v>2014</v>
      </c>
      <c r="AV8" t="s">
        <v>2242</v>
      </c>
      <c r="AW8">
        <v>26941.778999999999</v>
      </c>
    </row>
    <row r="9" spans="1:49" x14ac:dyDescent="0.25">
      <c r="A9" s="5" t="s">
        <v>542</v>
      </c>
      <c r="B9" s="5" t="str">
        <f>INDEX(Regions!B:B,MATCH(A9,Regions!A:A,0))</f>
        <v>China</v>
      </c>
      <c r="C9" t="s">
        <v>1138</v>
      </c>
      <c r="D9" s="5" t="s">
        <v>1139</v>
      </c>
      <c r="E9" s="5" t="s">
        <v>1140</v>
      </c>
      <c r="F9" s="5">
        <v>446</v>
      </c>
      <c r="G9" s="33">
        <f t="shared" si="0"/>
        <v>8.0902601282404135E-5</v>
      </c>
      <c r="H9" s="5" t="str">
        <f t="shared" si="1"/>
        <v>NotAccounted</v>
      </c>
      <c r="I9" s="5" t="str">
        <f t="shared" si="2"/>
        <v/>
      </c>
      <c r="J9" s="5" t="e">
        <f t="shared" si="3"/>
        <v>#N/A</v>
      </c>
      <c r="K9" s="5" t="str">
        <f t="shared" si="4"/>
        <v/>
      </c>
      <c r="O9" s="5"/>
      <c r="S9" s="32" t="s">
        <v>511</v>
      </c>
      <c r="T9" s="32" t="s">
        <v>547</v>
      </c>
      <c r="U9" s="32" t="s">
        <v>511</v>
      </c>
      <c r="W9" t="s">
        <v>746</v>
      </c>
      <c r="X9" t="s">
        <v>2260</v>
      </c>
      <c r="Y9" t="s">
        <v>517</v>
      </c>
      <c r="AA9" s="15" t="s">
        <v>531</v>
      </c>
      <c r="AB9" s="15" t="s">
        <v>2258</v>
      </c>
      <c r="AC9" s="15" t="s">
        <v>503</v>
      </c>
      <c r="AE9" t="s">
        <v>2251</v>
      </c>
      <c r="AF9" t="s">
        <v>2261</v>
      </c>
      <c r="AG9" t="s">
        <v>1029</v>
      </c>
      <c r="AH9" t="s">
        <v>557</v>
      </c>
      <c r="AJ9" s="28" t="s">
        <v>508</v>
      </c>
      <c r="AK9" s="28" t="s">
        <v>2262</v>
      </c>
      <c r="AL9" s="28" t="s">
        <v>491</v>
      </c>
      <c r="AM9" s="28"/>
      <c r="AN9" s="28" t="s">
        <v>9</v>
      </c>
      <c r="AO9" s="28"/>
      <c r="AQ9" t="s">
        <v>524</v>
      </c>
      <c r="AR9" t="s">
        <v>522</v>
      </c>
      <c r="AS9" t="s">
        <v>2240</v>
      </c>
      <c r="AT9" t="s">
        <v>2241</v>
      </c>
      <c r="AU9">
        <v>2014</v>
      </c>
      <c r="AV9" t="s">
        <v>2242</v>
      </c>
      <c r="AW9">
        <v>14.112</v>
      </c>
    </row>
    <row r="10" spans="1:49" x14ac:dyDescent="0.25">
      <c r="A10" s="5" t="s">
        <v>491</v>
      </c>
      <c r="B10" s="5" t="str">
        <f>INDEX(Regions!B:B,MATCH(A10,Regions!A:A,0))</f>
        <v>Europe</v>
      </c>
      <c r="C10" t="s">
        <v>488</v>
      </c>
      <c r="D10" s="5" t="s">
        <v>489</v>
      </c>
      <c r="E10" s="5" t="s">
        <v>490</v>
      </c>
      <c r="F10" s="5">
        <v>8</v>
      </c>
      <c r="G10" s="33">
        <f t="shared" si="0"/>
        <v>3.9701022115463274E-4</v>
      </c>
      <c r="H10" s="5" t="str">
        <f t="shared" si="1"/>
        <v/>
      </c>
      <c r="I10" s="5" t="str">
        <f t="shared" si="2"/>
        <v/>
      </c>
      <c r="J10" s="5" t="str">
        <f t="shared" si="3"/>
        <v/>
      </c>
      <c r="K10" s="5" t="str">
        <f t="shared" si="4"/>
        <v/>
      </c>
      <c r="O10" s="5"/>
      <c r="S10" s="32" t="e">
        <v>#N/A</v>
      </c>
      <c r="T10" s="32" t="s">
        <v>2251</v>
      </c>
      <c r="U10" s="32" t="e">
        <v>#N/A</v>
      </c>
      <c r="W10" t="s">
        <v>785</v>
      </c>
      <c r="X10" t="s">
        <v>2263</v>
      </c>
      <c r="Y10" t="s">
        <v>517</v>
      </c>
      <c r="AA10" s="15" t="s">
        <v>554</v>
      </c>
      <c r="AB10" s="15" t="s">
        <v>2258</v>
      </c>
      <c r="AC10" s="15" t="s">
        <v>503</v>
      </c>
      <c r="AE10" t="s">
        <v>792</v>
      </c>
      <c r="AF10" t="s">
        <v>2261</v>
      </c>
      <c r="AG10" t="s">
        <v>1029</v>
      </c>
      <c r="AH10" t="s">
        <v>557</v>
      </c>
      <c r="AJ10" s="28" t="s">
        <v>1254</v>
      </c>
      <c r="AK10" s="28" t="s">
        <v>2239</v>
      </c>
      <c r="AL10" s="28" t="s">
        <v>503</v>
      </c>
      <c r="AM10" s="28"/>
      <c r="AN10" s="28" t="s">
        <v>9</v>
      </c>
      <c r="AO10" s="28"/>
      <c r="AQ10" t="s">
        <v>531</v>
      </c>
      <c r="AR10" t="s">
        <v>529</v>
      </c>
      <c r="AS10" t="s">
        <v>2240</v>
      </c>
      <c r="AT10" t="s">
        <v>2241</v>
      </c>
      <c r="AU10">
        <v>2014</v>
      </c>
      <c r="AV10" t="s">
        <v>2242</v>
      </c>
      <c r="AW10">
        <v>92.561999999999998</v>
      </c>
    </row>
    <row r="11" spans="1:49" x14ac:dyDescent="0.25">
      <c r="A11" s="5" t="s">
        <v>491</v>
      </c>
      <c r="B11" s="5" t="str">
        <f>INDEX(Regions!B:B,MATCH(A11,Regions!A:A,0))</f>
        <v>Europe</v>
      </c>
      <c r="C11" t="s">
        <v>506</v>
      </c>
      <c r="D11" s="5" t="s">
        <v>507</v>
      </c>
      <c r="E11" s="5" t="s">
        <v>508</v>
      </c>
      <c r="F11" s="5">
        <v>20</v>
      </c>
      <c r="G11" s="33">
        <f t="shared" si="0"/>
        <v>1.0858100458453762E-5</v>
      </c>
      <c r="H11" s="5" t="str">
        <f t="shared" si="1"/>
        <v>NotAccounted</v>
      </c>
      <c r="I11" s="5" t="str">
        <f t="shared" si="2"/>
        <v/>
      </c>
      <c r="J11" s="5" t="e">
        <f t="shared" si="3"/>
        <v>#N/A</v>
      </c>
      <c r="K11" s="5" t="str">
        <f t="shared" si="4"/>
        <v/>
      </c>
      <c r="O11" s="5"/>
      <c r="S11" s="32" t="s">
        <v>2264</v>
      </c>
      <c r="T11" s="32" t="s">
        <v>531</v>
      </c>
      <c r="U11" s="32" t="s">
        <v>503</v>
      </c>
      <c r="W11" t="s">
        <v>844</v>
      </c>
      <c r="X11" t="s">
        <v>2265</v>
      </c>
      <c r="Y11" t="s">
        <v>517</v>
      </c>
      <c r="AA11" s="15" t="s">
        <v>583</v>
      </c>
      <c r="AB11" s="15" t="s">
        <v>2258</v>
      </c>
      <c r="AC11" s="15" t="s">
        <v>503</v>
      </c>
      <c r="AE11" t="s">
        <v>913</v>
      </c>
      <c r="AF11" t="s">
        <v>2261</v>
      </c>
      <c r="AG11" t="s">
        <v>1029</v>
      </c>
      <c r="AH11" t="s">
        <v>557</v>
      </c>
      <c r="AJ11" s="28" t="s">
        <v>1596</v>
      </c>
      <c r="AK11" s="28" t="s">
        <v>2266</v>
      </c>
      <c r="AL11" s="28" t="s">
        <v>500</v>
      </c>
      <c r="AM11" s="28" t="s">
        <v>605</v>
      </c>
      <c r="AN11" s="28" t="s">
        <v>9</v>
      </c>
      <c r="AO11" s="28"/>
      <c r="AQ11" t="s">
        <v>539</v>
      </c>
      <c r="AR11" t="s">
        <v>537</v>
      </c>
      <c r="AS11" t="s">
        <v>2240</v>
      </c>
      <c r="AT11" t="s">
        <v>2241</v>
      </c>
      <c r="AU11">
        <v>2014</v>
      </c>
      <c r="AV11" t="s">
        <v>2242</v>
      </c>
      <c r="AW11">
        <v>42637.510999999999</v>
      </c>
    </row>
    <row r="12" spans="1:49" x14ac:dyDescent="0.25">
      <c r="A12" s="5" t="s">
        <v>491</v>
      </c>
      <c r="B12" s="5" t="str">
        <f>INDEX(Regions!B:B,MATCH(A12,Regions!A:A,0))</f>
        <v>Europe</v>
      </c>
      <c r="C12" t="s">
        <v>568</v>
      </c>
      <c r="D12" s="5" t="s">
        <v>569</v>
      </c>
      <c r="E12" s="5" t="s">
        <v>570</v>
      </c>
      <c r="F12" s="5">
        <v>40</v>
      </c>
      <c r="G12" s="33">
        <f t="shared" si="0"/>
        <v>1.1809281189082256E-3</v>
      </c>
      <c r="H12" s="5" t="str">
        <f t="shared" si="1"/>
        <v/>
      </c>
      <c r="I12" s="5" t="str">
        <f t="shared" si="2"/>
        <v/>
      </c>
      <c r="J12" s="5" t="str">
        <f t="shared" si="3"/>
        <v/>
      </c>
      <c r="K12" s="5" t="str">
        <f t="shared" si="4"/>
        <v/>
      </c>
      <c r="O12" s="5"/>
      <c r="S12" s="32" t="s">
        <v>562</v>
      </c>
      <c r="T12" s="32" t="s">
        <v>562</v>
      </c>
      <c r="U12" s="32" t="s">
        <v>563</v>
      </c>
      <c r="W12" t="s">
        <v>890</v>
      </c>
      <c r="X12" t="s">
        <v>2267</v>
      </c>
      <c r="Y12" t="s">
        <v>517</v>
      </c>
      <c r="AA12" s="15" t="s">
        <v>610</v>
      </c>
      <c r="AB12" s="15" t="s">
        <v>2258</v>
      </c>
      <c r="AC12" s="15" t="s">
        <v>503</v>
      </c>
      <c r="AE12" t="s">
        <v>924</v>
      </c>
      <c r="AF12" t="s">
        <v>2261</v>
      </c>
      <c r="AG12" t="s">
        <v>1029</v>
      </c>
      <c r="AH12" t="s">
        <v>557</v>
      </c>
      <c r="AJ12" s="28" t="s">
        <v>539</v>
      </c>
      <c r="AK12" s="28" t="s">
        <v>539</v>
      </c>
      <c r="AL12" s="28" t="s">
        <v>503</v>
      </c>
      <c r="AM12" s="28" t="s">
        <v>595</v>
      </c>
      <c r="AN12" s="28" t="s">
        <v>9</v>
      </c>
      <c r="AO12" s="28"/>
      <c r="AQ12" t="s">
        <v>547</v>
      </c>
      <c r="AR12" t="s">
        <v>545</v>
      </c>
      <c r="AS12" t="s">
        <v>2240</v>
      </c>
      <c r="AT12" t="s">
        <v>2241</v>
      </c>
      <c r="AU12">
        <v>2014</v>
      </c>
      <c r="AV12" t="s">
        <v>2242</v>
      </c>
      <c r="AW12">
        <v>2912.4090000000001</v>
      </c>
    </row>
    <row r="13" spans="1:49" x14ac:dyDescent="0.25">
      <c r="A13" s="5" t="s">
        <v>491</v>
      </c>
      <c r="B13" s="5" t="str">
        <f>INDEX(Regions!B:B,MATCH(A13,Regions!A:A,0))</f>
        <v>Europe</v>
      </c>
      <c r="C13" t="s">
        <v>622</v>
      </c>
      <c r="D13" s="5" t="s">
        <v>623</v>
      </c>
      <c r="E13" s="5" t="s">
        <v>624</v>
      </c>
      <c r="F13" s="5">
        <v>56</v>
      </c>
      <c r="G13" s="33">
        <f t="shared" si="0"/>
        <v>1.5381471913134912E-3</v>
      </c>
      <c r="H13" s="5" t="str">
        <f t="shared" si="1"/>
        <v/>
      </c>
      <c r="I13" s="5" t="str">
        <f t="shared" si="2"/>
        <v/>
      </c>
      <c r="J13" s="5" t="str">
        <f t="shared" si="3"/>
        <v/>
      </c>
      <c r="K13" s="5" t="str">
        <f t="shared" si="4"/>
        <v/>
      </c>
      <c r="O13" s="5"/>
      <c r="S13" s="32" t="s">
        <v>2268</v>
      </c>
      <c r="T13" s="32" t="s">
        <v>570</v>
      </c>
      <c r="U13" s="32" t="s">
        <v>491</v>
      </c>
      <c r="W13" t="s">
        <v>929</v>
      </c>
      <c r="X13" t="s">
        <v>927</v>
      </c>
      <c r="Y13" t="s">
        <v>517</v>
      </c>
      <c r="AA13" s="15" t="s">
        <v>630</v>
      </c>
      <c r="AB13" s="15" t="s">
        <v>2258</v>
      </c>
      <c r="AC13" s="15" t="s">
        <v>503</v>
      </c>
      <c r="AE13" t="s">
        <v>2269</v>
      </c>
      <c r="AF13" t="s">
        <v>2261</v>
      </c>
      <c r="AG13" t="s">
        <v>1029</v>
      </c>
      <c r="AH13" t="s">
        <v>557</v>
      </c>
      <c r="AJ13" s="28" t="s">
        <v>547</v>
      </c>
      <c r="AK13" s="28" t="s">
        <v>547</v>
      </c>
      <c r="AL13" s="28" t="s">
        <v>511</v>
      </c>
      <c r="AM13" s="28"/>
      <c r="AN13" s="28" t="s">
        <v>9</v>
      </c>
      <c r="AO13" s="28"/>
      <c r="AQ13" t="s">
        <v>554</v>
      </c>
      <c r="AR13" t="s">
        <v>552</v>
      </c>
      <c r="AS13" t="s">
        <v>2240</v>
      </c>
      <c r="AT13" t="s">
        <v>2241</v>
      </c>
      <c r="AU13">
        <v>2014</v>
      </c>
      <c r="AV13" t="s">
        <v>2242</v>
      </c>
      <c r="AW13">
        <v>103.774</v>
      </c>
    </row>
    <row r="14" spans="1:49" x14ac:dyDescent="0.25">
      <c r="A14" s="5" t="s">
        <v>491</v>
      </c>
      <c r="B14" s="5" t="str">
        <f>INDEX(Regions!B:B,MATCH(A14,Regions!A:A,0))</f>
        <v>Europe</v>
      </c>
      <c r="C14" t="s">
        <v>656</v>
      </c>
      <c r="D14" s="5" t="s">
        <v>657</v>
      </c>
      <c r="E14" s="5" t="s">
        <v>658</v>
      </c>
      <c r="F14" s="5">
        <v>70</v>
      </c>
      <c r="G14" s="33">
        <f t="shared" si="0"/>
        <v>4.7730859703437747E-4</v>
      </c>
      <c r="H14" s="5" t="str">
        <f t="shared" si="1"/>
        <v/>
      </c>
      <c r="I14" s="5" t="str">
        <f t="shared" si="2"/>
        <v/>
      </c>
      <c r="J14" s="5" t="str">
        <f t="shared" si="3"/>
        <v/>
      </c>
      <c r="K14" s="5" t="str">
        <f t="shared" si="4"/>
        <v/>
      </c>
      <c r="O14" s="5"/>
      <c r="S14" s="32" t="s">
        <v>511</v>
      </c>
      <c r="T14" s="32" t="s">
        <v>578</v>
      </c>
      <c r="U14" s="32" t="s">
        <v>511</v>
      </c>
      <c r="W14" t="s">
        <v>705</v>
      </c>
      <c r="X14" t="s">
        <v>703</v>
      </c>
      <c r="Y14" t="s">
        <v>517</v>
      </c>
      <c r="AA14" s="15" t="s">
        <v>641</v>
      </c>
      <c r="AB14" s="15" t="s">
        <v>2258</v>
      </c>
      <c r="AC14" s="15" t="s">
        <v>503</v>
      </c>
      <c r="AE14" t="s">
        <v>1083</v>
      </c>
      <c r="AF14" t="s">
        <v>2261</v>
      </c>
      <c r="AG14" t="s">
        <v>1029</v>
      </c>
      <c r="AH14" t="s">
        <v>557</v>
      </c>
      <c r="AJ14" s="28" t="s">
        <v>2251</v>
      </c>
      <c r="AK14" s="28" t="s">
        <v>2270</v>
      </c>
      <c r="AL14" s="28" t="s">
        <v>481</v>
      </c>
      <c r="AM14" s="28"/>
      <c r="AN14" s="28" t="s">
        <v>9</v>
      </c>
      <c r="AO14" s="28" t="s">
        <v>2252</v>
      </c>
      <c r="AQ14" t="s">
        <v>562</v>
      </c>
      <c r="AR14" t="s">
        <v>560</v>
      </c>
      <c r="AS14" t="s">
        <v>2240</v>
      </c>
      <c r="AT14" t="s">
        <v>2241</v>
      </c>
      <c r="AU14">
        <v>2014</v>
      </c>
      <c r="AV14" t="s">
        <v>2242</v>
      </c>
      <c r="AW14">
        <v>23596.423999999999</v>
      </c>
    </row>
    <row r="15" spans="1:49" x14ac:dyDescent="0.25">
      <c r="A15" s="5" t="s">
        <v>491</v>
      </c>
      <c r="B15" s="5" t="str">
        <f>INDEX(Regions!B:B,MATCH(A15,Regions!A:A,0))</f>
        <v>Europe</v>
      </c>
      <c r="C15" t="s">
        <v>572</v>
      </c>
      <c r="D15" s="5" t="s">
        <v>689</v>
      </c>
      <c r="E15" s="5" t="s">
        <v>661</v>
      </c>
      <c r="F15" s="5">
        <v>100</v>
      </c>
      <c r="G15" s="33">
        <f t="shared" si="0"/>
        <v>9.9319495732258186E-4</v>
      </c>
      <c r="H15" s="5" t="str">
        <f t="shared" si="1"/>
        <v/>
      </c>
      <c r="I15" s="5" t="str">
        <f t="shared" si="2"/>
        <v/>
      </c>
      <c r="J15" s="5" t="str">
        <f t="shared" si="3"/>
        <v/>
      </c>
      <c r="K15" s="5" t="str">
        <f t="shared" si="4"/>
        <v/>
      </c>
      <c r="O15" s="5"/>
      <c r="S15" s="32" t="e">
        <v>#N/A</v>
      </c>
      <c r="T15" s="32" t="s">
        <v>705</v>
      </c>
      <c r="U15" s="32" t="e">
        <v>#N/A</v>
      </c>
      <c r="W15" t="s">
        <v>903</v>
      </c>
      <c r="X15" t="s">
        <v>901</v>
      </c>
      <c r="Y15" t="s">
        <v>517</v>
      </c>
      <c r="AA15" s="15" t="s">
        <v>739</v>
      </c>
      <c r="AB15" s="15" t="s">
        <v>2258</v>
      </c>
      <c r="AC15" s="15" t="s">
        <v>503</v>
      </c>
      <c r="AE15" t="s">
        <v>1175</v>
      </c>
      <c r="AF15" t="s">
        <v>2261</v>
      </c>
      <c r="AG15" t="s">
        <v>1029</v>
      </c>
      <c r="AH15" t="s">
        <v>557</v>
      </c>
      <c r="AJ15" s="28" t="s">
        <v>2271</v>
      </c>
      <c r="AK15" s="28" t="s">
        <v>2272</v>
      </c>
      <c r="AL15" s="28" t="e">
        <v>#N/A</v>
      </c>
      <c r="AM15" s="28" t="e">
        <v>#N/A</v>
      </c>
      <c r="AN15" s="28" t="e">
        <v>#N/A</v>
      </c>
      <c r="AO15" s="28" t="s">
        <v>2273</v>
      </c>
      <c r="AQ15" t="s">
        <v>570</v>
      </c>
      <c r="AR15" t="s">
        <v>568</v>
      </c>
      <c r="AS15" t="s">
        <v>2240</v>
      </c>
      <c r="AT15" t="s">
        <v>2241</v>
      </c>
      <c r="AU15">
        <v>2014</v>
      </c>
      <c r="AV15" t="s">
        <v>2242</v>
      </c>
      <c r="AW15">
        <v>8615.2139999999999</v>
      </c>
    </row>
    <row r="16" spans="1:49" x14ac:dyDescent="0.25">
      <c r="A16" s="5" t="s">
        <v>491</v>
      </c>
      <c r="B16" s="5" t="str">
        <f>INDEX(Regions!B:B,MATCH(A16,Regions!A:A,0))</f>
        <v>Europe</v>
      </c>
      <c r="C16" t="s">
        <v>729</v>
      </c>
      <c r="D16" s="5" t="s">
        <v>812</v>
      </c>
      <c r="E16" s="5" t="s">
        <v>728</v>
      </c>
      <c r="F16" s="5">
        <v>191</v>
      </c>
      <c r="G16" s="33">
        <f t="shared" si="0"/>
        <v>5.8332315147962437E-4</v>
      </c>
      <c r="H16" s="5" t="str">
        <f t="shared" si="1"/>
        <v/>
      </c>
      <c r="I16" s="5" t="str">
        <f t="shared" si="2"/>
        <v/>
      </c>
      <c r="J16" s="5" t="str">
        <f t="shared" si="3"/>
        <v/>
      </c>
      <c r="K16" s="5" t="str">
        <f t="shared" si="4"/>
        <v/>
      </c>
      <c r="S16" s="32" t="s">
        <v>2274</v>
      </c>
      <c r="T16" s="32" t="s">
        <v>624</v>
      </c>
      <c r="U16" s="32" t="s">
        <v>491</v>
      </c>
      <c r="W16" t="s">
        <v>1077</v>
      </c>
      <c r="X16" t="s">
        <v>1075</v>
      </c>
      <c r="Y16" t="s">
        <v>517</v>
      </c>
      <c r="AA16" s="15" t="s">
        <v>799</v>
      </c>
      <c r="AB16" s="15" t="s">
        <v>2258</v>
      </c>
      <c r="AC16" s="15" t="s">
        <v>503</v>
      </c>
      <c r="AE16" t="s">
        <v>1197</v>
      </c>
      <c r="AF16" t="s">
        <v>2261</v>
      </c>
      <c r="AG16" t="s">
        <v>1029</v>
      </c>
      <c r="AH16" t="s">
        <v>557</v>
      </c>
      <c r="AJ16" s="28" t="s">
        <v>2275</v>
      </c>
      <c r="AK16" s="28" t="s">
        <v>2276</v>
      </c>
      <c r="AL16" s="28" t="s">
        <v>517</v>
      </c>
      <c r="AM16" s="28"/>
      <c r="AN16" s="28" t="s">
        <v>9</v>
      </c>
      <c r="AO16" s="28" t="s">
        <v>2277</v>
      </c>
      <c r="AQ16" t="s">
        <v>578</v>
      </c>
      <c r="AR16" t="s">
        <v>576</v>
      </c>
      <c r="AS16" t="s">
        <v>2240</v>
      </c>
      <c r="AT16" t="s">
        <v>2241</v>
      </c>
      <c r="AU16">
        <v>2014</v>
      </c>
      <c r="AV16" t="s">
        <v>2242</v>
      </c>
      <c r="AW16">
        <v>9505.6219999999994</v>
      </c>
    </row>
    <row r="17" spans="1:49" x14ac:dyDescent="0.25">
      <c r="A17" s="5" t="s">
        <v>491</v>
      </c>
      <c r="B17" s="5" t="str">
        <f>INDEX(Regions!B:B,MATCH(A17,Regions!A:A,0))</f>
        <v>Europe</v>
      </c>
      <c r="C17" t="s">
        <v>669</v>
      </c>
      <c r="D17" s="5" t="s">
        <v>824</v>
      </c>
      <c r="E17" s="5" t="s">
        <v>668</v>
      </c>
      <c r="F17" s="5">
        <v>196</v>
      </c>
      <c r="G17" s="33">
        <f t="shared" si="0"/>
        <v>1.5794915338100305E-4</v>
      </c>
      <c r="H17" s="5" t="str">
        <f t="shared" si="1"/>
        <v/>
      </c>
      <c r="I17" s="5" t="str">
        <f t="shared" si="2"/>
        <v/>
      </c>
      <c r="J17" s="5" t="str">
        <f t="shared" si="3"/>
        <v/>
      </c>
      <c r="K17" s="5" t="str">
        <f t="shared" si="4"/>
        <v/>
      </c>
      <c r="S17" s="32" t="s">
        <v>2246</v>
      </c>
      <c r="T17" s="32" t="s">
        <v>635</v>
      </c>
      <c r="U17" s="32" t="s">
        <v>517</v>
      </c>
      <c r="W17" t="s">
        <v>1377</v>
      </c>
      <c r="X17" t="s">
        <v>1375</v>
      </c>
      <c r="Y17" t="s">
        <v>517</v>
      </c>
      <c r="AA17" s="15" t="s">
        <v>819</v>
      </c>
      <c r="AB17" s="15" t="s">
        <v>2258</v>
      </c>
      <c r="AC17" s="15" t="s">
        <v>503</v>
      </c>
      <c r="AE17" t="s">
        <v>1242</v>
      </c>
      <c r="AF17" t="s">
        <v>2261</v>
      </c>
      <c r="AG17" t="s">
        <v>1029</v>
      </c>
      <c r="AH17" t="s">
        <v>557</v>
      </c>
      <c r="AJ17" s="28" t="s">
        <v>531</v>
      </c>
      <c r="AK17" s="28" t="s">
        <v>2239</v>
      </c>
      <c r="AL17" s="28" t="s">
        <v>503</v>
      </c>
      <c r="AM17" s="28"/>
      <c r="AN17" s="28" t="s">
        <v>9</v>
      </c>
      <c r="AO17" s="28"/>
      <c r="AQ17" t="s">
        <v>583</v>
      </c>
      <c r="AR17" t="s">
        <v>581</v>
      </c>
      <c r="AS17" t="s">
        <v>2240</v>
      </c>
      <c r="AT17" t="s">
        <v>2241</v>
      </c>
      <c r="AU17">
        <v>2014</v>
      </c>
      <c r="AV17" t="s">
        <v>2242</v>
      </c>
      <c r="AW17">
        <v>370.63299999999998</v>
      </c>
    </row>
    <row r="18" spans="1:49" x14ac:dyDescent="0.25">
      <c r="A18" s="5" t="s">
        <v>491</v>
      </c>
      <c r="B18" s="5" t="str">
        <f>INDEX(Regions!B:B,MATCH(A18,Regions!A:A,0))</f>
        <v>Europe</v>
      </c>
      <c r="C18" t="s">
        <v>674</v>
      </c>
      <c r="D18" s="5" t="s">
        <v>830</v>
      </c>
      <c r="E18" s="5" t="s">
        <v>673</v>
      </c>
      <c r="F18" s="5">
        <v>203</v>
      </c>
      <c r="G18" s="33">
        <f t="shared" si="0"/>
        <v>1.4517732522481576E-3</v>
      </c>
      <c r="H18" s="5" t="str">
        <f t="shared" si="1"/>
        <v/>
      </c>
      <c r="I18" s="5" t="str">
        <f t="shared" si="2"/>
        <v/>
      </c>
      <c r="J18" s="5" t="str">
        <f t="shared" si="3"/>
        <v/>
      </c>
      <c r="K18" s="5" t="str">
        <f t="shared" si="4"/>
        <v/>
      </c>
      <c r="S18" s="32" t="s">
        <v>2246</v>
      </c>
      <c r="T18" s="32" t="s">
        <v>696</v>
      </c>
      <c r="U18" s="32" t="s">
        <v>517</v>
      </c>
      <c r="W18" t="s">
        <v>1606</v>
      </c>
      <c r="X18" t="s">
        <v>1604</v>
      </c>
      <c r="Y18" t="s">
        <v>517</v>
      </c>
      <c r="AA18" s="15" t="s">
        <v>862</v>
      </c>
      <c r="AB18" s="15" t="s">
        <v>2258</v>
      </c>
      <c r="AC18" s="15" t="s">
        <v>503</v>
      </c>
      <c r="AE18" t="s">
        <v>1261</v>
      </c>
      <c r="AF18" t="s">
        <v>2261</v>
      </c>
      <c r="AG18" t="s">
        <v>1029</v>
      </c>
      <c r="AH18" t="s">
        <v>557</v>
      </c>
      <c r="AJ18" s="28" t="s">
        <v>562</v>
      </c>
      <c r="AK18" s="28" t="s">
        <v>562</v>
      </c>
      <c r="AL18" s="28" t="s">
        <v>563</v>
      </c>
      <c r="AM18" s="28"/>
      <c r="AN18" s="28" t="s">
        <v>9</v>
      </c>
      <c r="AO18" s="28"/>
      <c r="AQ18" t="s">
        <v>592</v>
      </c>
      <c r="AR18" t="s">
        <v>590</v>
      </c>
      <c r="AS18" t="s">
        <v>2240</v>
      </c>
      <c r="AT18" t="s">
        <v>2241</v>
      </c>
      <c r="AU18">
        <v>2014</v>
      </c>
      <c r="AV18" t="s">
        <v>2242</v>
      </c>
      <c r="AW18">
        <v>1336.075</v>
      </c>
    </row>
    <row r="19" spans="1:49" x14ac:dyDescent="0.25">
      <c r="A19" s="5" t="s">
        <v>491</v>
      </c>
      <c r="B19" s="5" t="str">
        <f>INDEX(Regions!B:B,MATCH(A19,Regions!A:A,0))</f>
        <v>Europe</v>
      </c>
      <c r="C19" t="s">
        <v>688</v>
      </c>
      <c r="D19" s="5" t="s">
        <v>849</v>
      </c>
      <c r="E19" s="5" t="s">
        <v>687</v>
      </c>
      <c r="F19" s="5">
        <v>208</v>
      </c>
      <c r="G19" s="33">
        <f t="shared" si="0"/>
        <v>7.7641812814022908E-4</v>
      </c>
      <c r="H19" s="5" t="str">
        <f t="shared" si="1"/>
        <v/>
      </c>
      <c r="I19" s="5" t="str">
        <f t="shared" si="2"/>
        <v/>
      </c>
      <c r="J19" s="5" t="str">
        <f t="shared" si="3"/>
        <v/>
      </c>
      <c r="K19" s="5" t="str">
        <f t="shared" si="4"/>
        <v/>
      </c>
      <c r="S19" s="32" t="s">
        <v>601</v>
      </c>
      <c r="T19" s="32" t="s">
        <v>601</v>
      </c>
      <c r="U19" s="32" t="s">
        <v>481</v>
      </c>
      <c r="W19" t="s">
        <v>1585</v>
      </c>
      <c r="X19" t="s">
        <v>1583</v>
      </c>
      <c r="Y19" t="s">
        <v>517</v>
      </c>
      <c r="AA19" s="15" t="s">
        <v>869</v>
      </c>
      <c r="AB19" s="15" t="s">
        <v>2258</v>
      </c>
      <c r="AC19" s="15" t="s">
        <v>503</v>
      </c>
      <c r="AE19" t="s">
        <v>1287</v>
      </c>
      <c r="AF19" t="s">
        <v>2261</v>
      </c>
      <c r="AG19" t="s">
        <v>1029</v>
      </c>
      <c r="AH19" t="s">
        <v>557</v>
      </c>
      <c r="AJ19" s="28" t="s">
        <v>570</v>
      </c>
      <c r="AK19" s="28" t="s">
        <v>570</v>
      </c>
      <c r="AL19" s="28" t="s">
        <v>491</v>
      </c>
      <c r="AM19" s="28"/>
      <c r="AN19" s="28" t="s">
        <v>9</v>
      </c>
      <c r="AO19" s="28"/>
      <c r="AQ19" t="s">
        <v>601</v>
      </c>
      <c r="AR19" t="s">
        <v>599</v>
      </c>
      <c r="AS19" t="s">
        <v>2240</v>
      </c>
      <c r="AT19" t="s">
        <v>2241</v>
      </c>
      <c r="AU19">
        <v>2014</v>
      </c>
      <c r="AV19" t="s">
        <v>2242</v>
      </c>
      <c r="AW19">
        <v>154517.38200000001</v>
      </c>
    </row>
    <row r="20" spans="1:49" x14ac:dyDescent="0.25">
      <c r="A20" s="5" t="s">
        <v>491</v>
      </c>
      <c r="B20" s="5" t="str">
        <f>INDEX(Regions!B:B,MATCH(A20,Regions!A:A,0))</f>
        <v>Europe</v>
      </c>
      <c r="C20" t="s">
        <v>702</v>
      </c>
      <c r="D20" s="5" t="s">
        <v>897</v>
      </c>
      <c r="E20" s="5" t="s">
        <v>701</v>
      </c>
      <c r="F20" s="5">
        <v>233</v>
      </c>
      <c r="G20" s="33">
        <f t="shared" si="0"/>
        <v>1.8042831223602369E-4</v>
      </c>
      <c r="H20" s="5" t="str">
        <f t="shared" si="1"/>
        <v/>
      </c>
      <c r="I20" s="5" t="str">
        <f t="shared" si="2"/>
        <v/>
      </c>
      <c r="J20" s="5" t="str">
        <f t="shared" si="3"/>
        <v/>
      </c>
      <c r="K20" s="5" t="str">
        <f t="shared" si="4"/>
        <v/>
      </c>
      <c r="S20" s="32" t="s">
        <v>2278</v>
      </c>
      <c r="T20" s="32" t="s">
        <v>661</v>
      </c>
      <c r="U20" s="32" t="s">
        <v>491</v>
      </c>
      <c r="W20" t="s">
        <v>701</v>
      </c>
      <c r="X20" t="s">
        <v>702</v>
      </c>
      <c r="Y20" t="s">
        <v>491</v>
      </c>
      <c r="AA20" s="15" t="s">
        <v>885</v>
      </c>
      <c r="AB20" s="15" t="s">
        <v>2258</v>
      </c>
      <c r="AC20" s="15" t="s">
        <v>503</v>
      </c>
      <c r="AE20" t="s">
        <v>2279</v>
      </c>
      <c r="AF20" t="s">
        <v>2261</v>
      </c>
      <c r="AG20" t="s">
        <v>1029</v>
      </c>
      <c r="AH20" t="s">
        <v>557</v>
      </c>
      <c r="AJ20" s="28" t="s">
        <v>578</v>
      </c>
      <c r="AK20" s="28" t="s">
        <v>578</v>
      </c>
      <c r="AL20" s="28" t="s">
        <v>511</v>
      </c>
      <c r="AM20" s="28"/>
      <c r="AN20" s="28" t="s">
        <v>9</v>
      </c>
      <c r="AO20" s="28"/>
      <c r="AQ20" t="s">
        <v>610</v>
      </c>
      <c r="AR20" t="s">
        <v>608</v>
      </c>
      <c r="AS20" t="s">
        <v>2240</v>
      </c>
      <c r="AT20" t="s">
        <v>2241</v>
      </c>
      <c r="AU20">
        <v>2014</v>
      </c>
      <c r="AV20" t="s">
        <v>2242</v>
      </c>
      <c r="AW20">
        <v>284.82600000000002</v>
      </c>
    </row>
    <row r="21" spans="1:49" x14ac:dyDescent="0.25">
      <c r="A21" s="5" t="s">
        <v>491</v>
      </c>
      <c r="B21" s="5" t="str">
        <f>INDEX(Regions!B:B,MATCH(A21,Regions!A:A,0))</f>
        <v>Europe</v>
      </c>
      <c r="C21" t="s">
        <v>709</v>
      </c>
      <c r="D21" s="5" t="s">
        <v>916</v>
      </c>
      <c r="E21" s="5" t="s">
        <v>708</v>
      </c>
      <c r="F21" s="5">
        <v>246</v>
      </c>
      <c r="G21" s="33">
        <f t="shared" si="0"/>
        <v>7.4862142934751142E-4</v>
      </c>
      <c r="H21" s="5" t="str">
        <f t="shared" si="1"/>
        <v/>
      </c>
      <c r="I21" s="5" t="str">
        <f t="shared" si="2"/>
        <v/>
      </c>
      <c r="J21" s="5" t="str">
        <f t="shared" si="3"/>
        <v/>
      </c>
      <c r="K21" s="5" t="str">
        <f t="shared" si="4"/>
        <v/>
      </c>
      <c r="S21" s="32" t="e">
        <v>#N/A</v>
      </c>
      <c r="T21" s="32" t="s">
        <v>592</v>
      </c>
      <c r="U21" s="32" t="e">
        <v>#N/A</v>
      </c>
      <c r="W21" t="s">
        <v>768</v>
      </c>
      <c r="X21" t="s">
        <v>769</v>
      </c>
      <c r="Y21" t="s">
        <v>491</v>
      </c>
      <c r="AA21" s="15" t="s">
        <v>963</v>
      </c>
      <c r="AB21" s="15" t="s">
        <v>2258</v>
      </c>
      <c r="AC21" s="15" t="s">
        <v>503</v>
      </c>
      <c r="AE21" t="s">
        <v>1305</v>
      </c>
      <c r="AF21" t="s">
        <v>2261</v>
      </c>
      <c r="AG21" t="s">
        <v>1029</v>
      </c>
      <c r="AH21" t="s">
        <v>557</v>
      </c>
      <c r="AJ21" s="28" t="s">
        <v>705</v>
      </c>
      <c r="AK21" s="28" t="s">
        <v>705</v>
      </c>
      <c r="AL21" s="28" t="s">
        <v>517</v>
      </c>
      <c r="AM21" s="28" t="s">
        <v>605</v>
      </c>
      <c r="AN21" s="28" t="s">
        <v>9</v>
      </c>
      <c r="AO21" s="28"/>
      <c r="AQ21" t="s">
        <v>618</v>
      </c>
      <c r="AR21" t="s">
        <v>616</v>
      </c>
      <c r="AS21" t="s">
        <v>2240</v>
      </c>
      <c r="AT21" t="s">
        <v>2241</v>
      </c>
      <c r="AU21">
        <v>2014</v>
      </c>
      <c r="AV21" t="s">
        <v>2242</v>
      </c>
      <c r="AW21">
        <v>9431.7350000000006</v>
      </c>
    </row>
    <row r="22" spans="1:49" x14ac:dyDescent="0.25">
      <c r="A22" s="5" t="s">
        <v>491</v>
      </c>
      <c r="B22" s="5" t="str">
        <f>INDEX(Regions!B:B,MATCH(A22,Regions!A:A,0))</f>
        <v>Europe</v>
      </c>
      <c r="C22" t="s">
        <v>716</v>
      </c>
      <c r="D22" s="5" t="s">
        <v>919</v>
      </c>
      <c r="E22" s="5" t="s">
        <v>715</v>
      </c>
      <c r="F22" s="5">
        <v>250</v>
      </c>
      <c r="G22" s="33">
        <f t="shared" si="0"/>
        <v>8.7993134294216176E-3</v>
      </c>
      <c r="H22" s="5" t="str">
        <f t="shared" si="1"/>
        <v/>
      </c>
      <c r="I22" s="5" t="str">
        <f t="shared" si="2"/>
        <v/>
      </c>
      <c r="J22" s="5" t="str">
        <f t="shared" si="3"/>
        <v/>
      </c>
      <c r="K22" s="5" t="str">
        <f t="shared" si="4"/>
        <v/>
      </c>
      <c r="S22" s="32" t="s">
        <v>2264</v>
      </c>
      <c r="T22" s="32" t="s">
        <v>583</v>
      </c>
      <c r="U22" s="32" t="s">
        <v>503</v>
      </c>
      <c r="W22" t="s">
        <v>756</v>
      </c>
      <c r="X22" t="s">
        <v>757</v>
      </c>
      <c r="Y22" t="s">
        <v>491</v>
      </c>
      <c r="AA22" s="15" t="s">
        <v>969</v>
      </c>
      <c r="AB22" s="15" t="s">
        <v>2258</v>
      </c>
      <c r="AC22" s="15" t="s">
        <v>503</v>
      </c>
      <c r="AE22" t="s">
        <v>1322</v>
      </c>
      <c r="AF22" t="s">
        <v>2261</v>
      </c>
      <c r="AG22" t="s">
        <v>1029</v>
      </c>
      <c r="AH22" t="s">
        <v>557</v>
      </c>
      <c r="AJ22" s="28" t="s">
        <v>624</v>
      </c>
      <c r="AK22" s="28" t="s">
        <v>828</v>
      </c>
      <c r="AL22" s="28" t="s">
        <v>491</v>
      </c>
      <c r="AM22" s="28"/>
      <c r="AN22" s="28" t="s">
        <v>9</v>
      </c>
      <c r="AO22" s="28"/>
      <c r="AQ22" t="s">
        <v>624</v>
      </c>
      <c r="AR22" t="s">
        <v>622</v>
      </c>
      <c r="AS22" t="s">
        <v>2240</v>
      </c>
      <c r="AT22" t="s">
        <v>2241</v>
      </c>
      <c r="AU22">
        <v>2014</v>
      </c>
      <c r="AV22" t="s">
        <v>2242</v>
      </c>
      <c r="AW22">
        <v>11221.231</v>
      </c>
    </row>
    <row r="23" spans="1:49" x14ac:dyDescent="0.25">
      <c r="A23" s="5" t="s">
        <v>491</v>
      </c>
      <c r="B23" s="5" t="str">
        <f>INDEX(Regions!B:B,MATCH(A23,Regions!A:A,0))</f>
        <v>Europe</v>
      </c>
      <c r="C23" t="s">
        <v>681</v>
      </c>
      <c r="D23" s="5" t="s">
        <v>943</v>
      </c>
      <c r="E23" s="5" t="s">
        <v>680</v>
      </c>
      <c r="F23" s="5">
        <v>276</v>
      </c>
      <c r="G23" s="33">
        <f t="shared" si="0"/>
        <v>1.1164788440067063E-2</v>
      </c>
      <c r="H23" s="5" t="str">
        <f t="shared" si="1"/>
        <v/>
      </c>
      <c r="I23" s="5" t="str">
        <f t="shared" si="2"/>
        <v/>
      </c>
      <c r="J23" s="5" t="str">
        <f t="shared" si="3"/>
        <v/>
      </c>
      <c r="K23" s="5" t="str">
        <f t="shared" si="4"/>
        <v/>
      </c>
      <c r="S23" s="32" t="s">
        <v>2280</v>
      </c>
      <c r="T23" s="32" t="s">
        <v>658</v>
      </c>
      <c r="U23" s="32" t="s">
        <v>491</v>
      </c>
      <c r="W23" t="s">
        <v>661</v>
      </c>
      <c r="X23" t="s">
        <v>572</v>
      </c>
      <c r="Y23" t="s">
        <v>491</v>
      </c>
      <c r="AA23" s="15" t="s">
        <v>974</v>
      </c>
      <c r="AB23" s="15" t="s">
        <v>2258</v>
      </c>
      <c r="AC23" s="15" t="s">
        <v>503</v>
      </c>
      <c r="AE23" t="s">
        <v>2281</v>
      </c>
      <c r="AF23" t="s">
        <v>2261</v>
      </c>
      <c r="AG23" t="s">
        <v>1029</v>
      </c>
      <c r="AH23" t="s">
        <v>557</v>
      </c>
      <c r="AJ23" s="28" t="s">
        <v>635</v>
      </c>
      <c r="AK23" s="28" t="s">
        <v>635</v>
      </c>
      <c r="AL23" s="28" t="s">
        <v>517</v>
      </c>
      <c r="AM23" s="28" t="s">
        <v>605</v>
      </c>
      <c r="AN23" s="28" t="s">
        <v>9</v>
      </c>
      <c r="AO23" s="28"/>
      <c r="AQ23" t="s">
        <v>630</v>
      </c>
      <c r="AR23" t="s">
        <v>628</v>
      </c>
      <c r="AS23" t="s">
        <v>2240</v>
      </c>
      <c r="AT23" t="s">
        <v>2241</v>
      </c>
      <c r="AU23">
        <v>2014</v>
      </c>
      <c r="AV23" t="s">
        <v>2242</v>
      </c>
      <c r="AW23">
        <v>353.36599999999999</v>
      </c>
    </row>
    <row r="24" spans="1:49" x14ac:dyDescent="0.25">
      <c r="A24" s="5" t="s">
        <v>491</v>
      </c>
      <c r="B24" s="5" t="str">
        <f>INDEX(Regions!B:B,MATCH(A24,Regions!A:A,0))</f>
        <v>Europe</v>
      </c>
      <c r="C24" t="s">
        <v>953</v>
      </c>
      <c r="D24" s="5" t="s">
        <v>954</v>
      </c>
      <c r="E24" s="5" t="s">
        <v>955</v>
      </c>
      <c r="F24" s="5">
        <v>292</v>
      </c>
      <c r="G24" s="33">
        <f t="shared" si="0"/>
        <v>4.622845214312716E-6</v>
      </c>
      <c r="H24" s="5" t="str">
        <f t="shared" si="1"/>
        <v>NotAccounted</v>
      </c>
      <c r="I24" s="5" t="str">
        <f t="shared" si="2"/>
        <v/>
      </c>
      <c r="J24" s="5" t="e">
        <f t="shared" si="3"/>
        <v>#N/A</v>
      </c>
      <c r="K24" s="5" t="str">
        <f t="shared" si="4"/>
        <v/>
      </c>
      <c r="S24" s="32" t="s">
        <v>624</v>
      </c>
      <c r="T24" s="32" t="s">
        <v>618</v>
      </c>
      <c r="U24" s="32" t="s">
        <v>511</v>
      </c>
      <c r="W24" t="s">
        <v>728</v>
      </c>
      <c r="X24" t="s">
        <v>729</v>
      </c>
      <c r="Y24" t="s">
        <v>491</v>
      </c>
      <c r="AA24" s="15" t="s">
        <v>995</v>
      </c>
      <c r="AB24" s="15" t="s">
        <v>2258</v>
      </c>
      <c r="AC24" s="15" t="s">
        <v>503</v>
      </c>
      <c r="AE24" t="s">
        <v>1399</v>
      </c>
      <c r="AF24" t="s">
        <v>2261</v>
      </c>
      <c r="AG24" t="s">
        <v>1029</v>
      </c>
      <c r="AH24" t="s">
        <v>557</v>
      </c>
      <c r="AJ24" s="28" t="s">
        <v>2282</v>
      </c>
      <c r="AK24" s="28" t="s">
        <v>2239</v>
      </c>
      <c r="AL24" s="28" t="s">
        <v>503</v>
      </c>
      <c r="AM24" s="28"/>
      <c r="AN24" s="28" t="s">
        <v>9</v>
      </c>
      <c r="AO24" s="28" t="s">
        <v>2283</v>
      </c>
      <c r="AQ24" t="s">
        <v>635</v>
      </c>
      <c r="AR24" t="s">
        <v>633</v>
      </c>
      <c r="AS24" t="s">
        <v>2240</v>
      </c>
      <c r="AT24" t="s">
        <v>2241</v>
      </c>
      <c r="AU24">
        <v>2014</v>
      </c>
      <c r="AV24" t="s">
        <v>2242</v>
      </c>
      <c r="AW24">
        <v>10286.843999999999</v>
      </c>
    </row>
    <row r="25" spans="1:49" x14ac:dyDescent="0.25">
      <c r="A25" s="5" t="s">
        <v>491</v>
      </c>
      <c r="B25" s="5" t="str">
        <f>INDEX(Regions!B:B,MATCH(A25,Regions!A:A,0))</f>
        <v>Europe</v>
      </c>
      <c r="C25" t="s">
        <v>723</v>
      </c>
      <c r="D25" s="5" t="s">
        <v>958</v>
      </c>
      <c r="E25" s="5" t="s">
        <v>722</v>
      </c>
      <c r="F25" s="5">
        <v>300</v>
      </c>
      <c r="G25" s="33">
        <f t="shared" si="0"/>
        <v>1.4668991743744433E-3</v>
      </c>
      <c r="H25" s="5" t="str">
        <f t="shared" si="1"/>
        <v/>
      </c>
      <c r="I25" s="5" t="str">
        <f t="shared" si="2"/>
        <v/>
      </c>
      <c r="J25" s="5" t="str">
        <f t="shared" si="3"/>
        <v/>
      </c>
      <c r="K25" s="5" t="str">
        <f t="shared" si="4"/>
        <v/>
      </c>
      <c r="S25" s="32" t="s">
        <v>2264</v>
      </c>
      <c r="T25" s="32" t="s">
        <v>630</v>
      </c>
      <c r="U25" s="32" t="s">
        <v>503</v>
      </c>
      <c r="W25" t="s">
        <v>673</v>
      </c>
      <c r="X25" t="s">
        <v>2284</v>
      </c>
      <c r="Y25" t="s">
        <v>491</v>
      </c>
      <c r="AA25" s="15" t="s">
        <v>1005</v>
      </c>
      <c r="AB25" s="15" t="s">
        <v>2258</v>
      </c>
      <c r="AC25" s="15" t="s">
        <v>503</v>
      </c>
      <c r="AE25" t="s">
        <v>1453</v>
      </c>
      <c r="AF25" t="s">
        <v>2261</v>
      </c>
      <c r="AG25" t="s">
        <v>1029</v>
      </c>
      <c r="AH25" t="s">
        <v>557</v>
      </c>
      <c r="AJ25" s="28" t="s">
        <v>696</v>
      </c>
      <c r="AK25" s="28" t="s">
        <v>696</v>
      </c>
      <c r="AL25" s="28" t="s">
        <v>517</v>
      </c>
      <c r="AM25" s="28" t="s">
        <v>605</v>
      </c>
      <c r="AN25" s="28" t="s">
        <v>9</v>
      </c>
      <c r="AO25" s="28"/>
      <c r="AQ25" t="s">
        <v>641</v>
      </c>
      <c r="AR25" t="s">
        <v>639</v>
      </c>
      <c r="AS25" t="s">
        <v>2240</v>
      </c>
      <c r="AT25" t="s">
        <v>2241</v>
      </c>
      <c r="AU25">
        <v>2014</v>
      </c>
      <c r="AV25" t="s">
        <v>2242</v>
      </c>
      <c r="AW25">
        <v>64.033000000000001</v>
      </c>
    </row>
    <row r="26" spans="1:49" x14ac:dyDescent="0.25">
      <c r="A26" s="5" t="s">
        <v>491</v>
      </c>
      <c r="B26" s="5" t="str">
        <f>INDEX(Regions!B:B,MATCH(A26,Regions!A:A,0))</f>
        <v>Europe</v>
      </c>
      <c r="C26" t="s">
        <v>998</v>
      </c>
      <c r="D26" s="5" t="s">
        <v>999</v>
      </c>
      <c r="E26" s="5" t="s">
        <v>1000</v>
      </c>
      <c r="F26" s="5">
        <v>336</v>
      </c>
      <c r="G26" s="33">
        <f t="shared" si="0"/>
        <v>1.0965978269681758E-7</v>
      </c>
      <c r="H26" s="5" t="str">
        <f t="shared" si="1"/>
        <v>NotAccounted</v>
      </c>
      <c r="I26" s="5" t="str">
        <f t="shared" si="2"/>
        <v/>
      </c>
      <c r="J26" s="5" t="e">
        <f t="shared" si="3"/>
        <v>#N/A</v>
      </c>
      <c r="K26" s="5" t="str">
        <f t="shared" si="4"/>
        <v/>
      </c>
      <c r="S26" s="32" t="s">
        <v>2285</v>
      </c>
      <c r="T26" s="32" t="s">
        <v>641</v>
      </c>
      <c r="U26" s="32" t="s">
        <v>503</v>
      </c>
      <c r="W26" t="s">
        <v>735</v>
      </c>
      <c r="X26" t="s">
        <v>736</v>
      </c>
      <c r="Y26" t="s">
        <v>491</v>
      </c>
      <c r="AA26" s="15" t="s">
        <v>1056</v>
      </c>
      <c r="AB26" s="15" t="s">
        <v>2258</v>
      </c>
      <c r="AC26" s="15" t="s">
        <v>503</v>
      </c>
      <c r="AE26" t="s">
        <v>1542</v>
      </c>
      <c r="AF26" t="s">
        <v>2261</v>
      </c>
      <c r="AG26" t="s">
        <v>1029</v>
      </c>
      <c r="AH26" t="s">
        <v>557</v>
      </c>
      <c r="AJ26" s="28" t="s">
        <v>601</v>
      </c>
      <c r="AK26" s="28" t="s">
        <v>601</v>
      </c>
      <c r="AL26" s="28" t="s">
        <v>481</v>
      </c>
      <c r="AM26" s="28" t="s">
        <v>613</v>
      </c>
      <c r="AN26" s="28" t="s">
        <v>9</v>
      </c>
      <c r="AO26" s="28"/>
      <c r="AQ26" t="s">
        <v>648</v>
      </c>
      <c r="AR26" t="s">
        <v>646</v>
      </c>
      <c r="AS26" t="s">
        <v>2240</v>
      </c>
      <c r="AT26" t="s">
        <v>2241</v>
      </c>
      <c r="AU26">
        <v>2014</v>
      </c>
      <c r="AV26" t="s">
        <v>2242</v>
      </c>
      <c r="AW26">
        <v>719.05499999999995</v>
      </c>
    </row>
    <row r="27" spans="1:49" x14ac:dyDescent="0.25">
      <c r="A27" s="5" t="s">
        <v>491</v>
      </c>
      <c r="B27" s="5" t="str">
        <f>INDEX(Regions!B:B,MATCH(A27,Regions!A:A,0))</f>
        <v>Europe</v>
      </c>
      <c r="C27" t="s">
        <v>736</v>
      </c>
      <c r="D27" s="5" t="s">
        <v>1015</v>
      </c>
      <c r="E27" s="5" t="s">
        <v>735</v>
      </c>
      <c r="F27" s="5">
        <v>348</v>
      </c>
      <c r="G27" s="33">
        <f t="shared" si="0"/>
        <v>1.344016478005315E-3</v>
      </c>
      <c r="H27" s="5" t="str">
        <f t="shared" si="1"/>
        <v/>
      </c>
      <c r="I27" s="5" t="str">
        <f t="shared" si="2"/>
        <v/>
      </c>
      <c r="J27" s="5" t="str">
        <f t="shared" si="3"/>
        <v/>
      </c>
      <c r="K27" s="5" t="str">
        <f t="shared" si="4"/>
        <v/>
      </c>
      <c r="S27" s="32" t="s">
        <v>653</v>
      </c>
      <c r="T27" s="32" t="s">
        <v>653</v>
      </c>
      <c r="U27" s="32" t="s">
        <v>503</v>
      </c>
      <c r="W27" t="s">
        <v>788</v>
      </c>
      <c r="X27" t="s">
        <v>789</v>
      </c>
      <c r="Y27" t="s">
        <v>491</v>
      </c>
      <c r="AA27" s="15" t="s">
        <v>2286</v>
      </c>
      <c r="AB27" s="15" t="s">
        <v>2258</v>
      </c>
      <c r="AC27" s="15" t="s">
        <v>503</v>
      </c>
      <c r="AE27" t="s">
        <v>1547</v>
      </c>
      <c r="AF27" t="s">
        <v>2261</v>
      </c>
      <c r="AG27" t="s">
        <v>1029</v>
      </c>
      <c r="AH27" t="s">
        <v>557</v>
      </c>
      <c r="AJ27" s="28" t="s">
        <v>661</v>
      </c>
      <c r="AK27" s="28" t="s">
        <v>661</v>
      </c>
      <c r="AL27" s="28" t="s">
        <v>491</v>
      </c>
      <c r="AM27" s="28"/>
      <c r="AN27" s="28" t="s">
        <v>9</v>
      </c>
      <c r="AO27" s="28"/>
      <c r="AQ27" t="s">
        <v>653</v>
      </c>
      <c r="AR27" t="s">
        <v>2287</v>
      </c>
      <c r="AS27" t="s">
        <v>2240</v>
      </c>
      <c r="AT27" t="s">
        <v>2241</v>
      </c>
      <c r="AU27">
        <v>2014</v>
      </c>
      <c r="AV27" t="s">
        <v>2242</v>
      </c>
      <c r="AW27">
        <v>10706.517</v>
      </c>
    </row>
    <row r="28" spans="1:49" x14ac:dyDescent="0.25">
      <c r="A28" s="5" t="s">
        <v>491</v>
      </c>
      <c r="B28" s="5" t="str">
        <f>INDEX(Regions!B:B,MATCH(A28,Regions!A:A,0))</f>
        <v>Europe</v>
      </c>
      <c r="C28" t="s">
        <v>1018</v>
      </c>
      <c r="D28" s="5" t="s">
        <v>1019</v>
      </c>
      <c r="E28" s="5" t="s">
        <v>1020</v>
      </c>
      <c r="F28" s="5">
        <v>352</v>
      </c>
      <c r="G28" s="33">
        <f t="shared" si="0"/>
        <v>4.5041933294347592E-5</v>
      </c>
      <c r="H28" s="5" t="str">
        <f t="shared" si="1"/>
        <v/>
      </c>
      <c r="I28" s="5" t="str">
        <f t="shared" si="2"/>
        <v/>
      </c>
      <c r="J28" s="5" t="str">
        <f t="shared" si="3"/>
        <v/>
      </c>
      <c r="K28" s="5" t="str">
        <f t="shared" si="4"/>
        <v/>
      </c>
      <c r="S28" s="32" t="s">
        <v>495</v>
      </c>
      <c r="T28" s="32" t="s">
        <v>495</v>
      </c>
      <c r="U28" s="32" t="s">
        <v>495</v>
      </c>
      <c r="W28" t="s">
        <v>803</v>
      </c>
      <c r="X28" t="s">
        <v>804</v>
      </c>
      <c r="Y28" t="s">
        <v>491</v>
      </c>
      <c r="AA28" s="15" t="s">
        <v>1217</v>
      </c>
      <c r="AB28" s="15" t="s">
        <v>2258</v>
      </c>
      <c r="AC28" s="15" t="s">
        <v>503</v>
      </c>
      <c r="AE28" t="s">
        <v>1580</v>
      </c>
      <c r="AF28" t="s">
        <v>2261</v>
      </c>
      <c r="AG28" t="s">
        <v>1029</v>
      </c>
      <c r="AH28" t="s">
        <v>557</v>
      </c>
      <c r="AJ28" s="28" t="s">
        <v>592</v>
      </c>
      <c r="AK28" s="28" t="s">
        <v>2266</v>
      </c>
      <c r="AL28" s="28" t="s">
        <v>500</v>
      </c>
      <c r="AM28" s="28" t="s">
        <v>605</v>
      </c>
      <c r="AN28" s="28" t="s">
        <v>9</v>
      </c>
      <c r="AO28" s="28"/>
      <c r="AQ28" t="s">
        <v>2282</v>
      </c>
      <c r="AR28" t="s">
        <v>2283</v>
      </c>
      <c r="AS28" t="s">
        <v>2240</v>
      </c>
      <c r="AT28" t="s">
        <v>2241</v>
      </c>
      <c r="AU28">
        <v>2014</v>
      </c>
      <c r="AV28" t="s">
        <v>2242</v>
      </c>
      <c r="AW28">
        <v>24.07</v>
      </c>
    </row>
    <row r="29" spans="1:49" x14ac:dyDescent="0.25">
      <c r="A29" s="5" t="s">
        <v>491</v>
      </c>
      <c r="B29" s="5" t="str">
        <f>INDEX(Regions!B:B,MATCH(A29,Regions!A:A,0))</f>
        <v>Europe</v>
      </c>
      <c r="C29" t="s">
        <v>743</v>
      </c>
      <c r="D29" s="5" t="s">
        <v>1042</v>
      </c>
      <c r="E29" s="5" t="s">
        <v>742</v>
      </c>
      <c r="F29" s="5">
        <v>372</v>
      </c>
      <c r="G29" s="33">
        <f t="shared" si="0"/>
        <v>6.3422338451509278E-4</v>
      </c>
      <c r="H29" s="5" t="str">
        <f t="shared" si="1"/>
        <v/>
      </c>
      <c r="I29" s="5" t="str">
        <f t="shared" si="2"/>
        <v/>
      </c>
      <c r="J29" s="5" t="str">
        <f t="shared" si="3"/>
        <v/>
      </c>
      <c r="K29" s="5" t="str">
        <f t="shared" si="4"/>
        <v/>
      </c>
      <c r="S29" s="32" t="s">
        <v>2264</v>
      </c>
      <c r="T29" s="32" t="s">
        <v>610</v>
      </c>
      <c r="U29" s="32" t="s">
        <v>503</v>
      </c>
      <c r="W29" t="s">
        <v>810</v>
      </c>
      <c r="X29" t="s">
        <v>811</v>
      </c>
      <c r="Y29" t="s">
        <v>491</v>
      </c>
      <c r="AA29" s="15" t="s">
        <v>1254</v>
      </c>
      <c r="AB29" s="15" t="s">
        <v>2258</v>
      </c>
      <c r="AC29" s="15" t="s">
        <v>503</v>
      </c>
      <c r="AE29" t="s">
        <v>2249</v>
      </c>
      <c r="AF29" t="s">
        <v>2261</v>
      </c>
      <c r="AG29" t="s">
        <v>1029</v>
      </c>
      <c r="AH29" t="s">
        <v>557</v>
      </c>
      <c r="AJ29" s="28" t="s">
        <v>583</v>
      </c>
      <c r="AK29" s="28" t="s">
        <v>2239</v>
      </c>
      <c r="AL29" s="28" t="s">
        <v>503</v>
      </c>
      <c r="AM29" s="28"/>
      <c r="AN29" s="28" t="s">
        <v>9</v>
      </c>
      <c r="AO29" s="28"/>
      <c r="AQ29" t="s">
        <v>658</v>
      </c>
      <c r="AR29" t="s">
        <v>656</v>
      </c>
      <c r="AS29" t="s">
        <v>2240</v>
      </c>
      <c r="AT29" t="s">
        <v>2241</v>
      </c>
      <c r="AU29">
        <v>2014</v>
      </c>
      <c r="AV29" t="s">
        <v>2242</v>
      </c>
      <c r="AW29">
        <v>3482.105</v>
      </c>
    </row>
    <row r="30" spans="1:49" x14ac:dyDescent="0.25">
      <c r="A30" s="5" t="s">
        <v>491</v>
      </c>
      <c r="B30" s="5" t="str">
        <f>INDEX(Regions!B:B,MATCH(A30,Regions!A:A,0))</f>
        <v>Europe</v>
      </c>
      <c r="C30" t="s">
        <v>750</v>
      </c>
      <c r="D30" s="5" t="s">
        <v>1051</v>
      </c>
      <c r="E30" s="5" t="s">
        <v>749</v>
      </c>
      <c r="F30" s="5">
        <v>380</v>
      </c>
      <c r="G30" s="33">
        <f t="shared" si="0"/>
        <v>8.2806322524966568E-3</v>
      </c>
      <c r="H30" s="5" t="str">
        <f t="shared" si="1"/>
        <v/>
      </c>
      <c r="I30" s="5" t="str">
        <f t="shared" si="2"/>
        <v/>
      </c>
      <c r="J30" s="5" t="str">
        <f t="shared" si="3"/>
        <v/>
      </c>
      <c r="K30" s="5" t="str">
        <f t="shared" si="4"/>
        <v/>
      </c>
      <c r="S30" s="32" t="s">
        <v>2288</v>
      </c>
      <c r="T30" s="32" t="s">
        <v>684</v>
      </c>
      <c r="U30" s="32" t="s">
        <v>481</v>
      </c>
      <c r="W30" t="s">
        <v>815</v>
      </c>
      <c r="X30" t="s">
        <v>816</v>
      </c>
      <c r="Y30" t="s">
        <v>491</v>
      </c>
      <c r="AA30" s="15" t="s">
        <v>1271</v>
      </c>
      <c r="AB30" s="15" t="s">
        <v>2258</v>
      </c>
      <c r="AC30" s="15" t="s">
        <v>503</v>
      </c>
      <c r="AE30" t="s">
        <v>1626</v>
      </c>
      <c r="AF30" t="s">
        <v>2261</v>
      </c>
      <c r="AG30" t="s">
        <v>1029</v>
      </c>
      <c r="AH30" t="s">
        <v>557</v>
      </c>
      <c r="AJ30" s="28" t="s">
        <v>658</v>
      </c>
      <c r="AK30" s="28" t="s">
        <v>2289</v>
      </c>
      <c r="AL30" s="28" t="s">
        <v>491</v>
      </c>
      <c r="AM30" s="28"/>
      <c r="AN30" s="28" t="s">
        <v>9</v>
      </c>
      <c r="AO30" s="28"/>
      <c r="AQ30" t="s">
        <v>664</v>
      </c>
      <c r="AR30" t="s">
        <v>662</v>
      </c>
      <c r="AS30" t="s">
        <v>2240</v>
      </c>
      <c r="AT30" t="s">
        <v>2241</v>
      </c>
      <c r="AU30">
        <v>2014</v>
      </c>
      <c r="AV30" t="s">
        <v>2242</v>
      </c>
      <c r="AW30">
        <v>2088.6179999999999</v>
      </c>
    </row>
    <row r="31" spans="1:49" x14ac:dyDescent="0.25">
      <c r="A31" s="5" t="s">
        <v>491</v>
      </c>
      <c r="B31" s="5" t="str">
        <f>INDEX(Regions!B:B,MATCH(A31,Regions!A:A,0))</f>
        <v>Europe</v>
      </c>
      <c r="C31" t="s">
        <v>769</v>
      </c>
      <c r="D31" s="5" t="s">
        <v>1101</v>
      </c>
      <c r="E31" s="5" t="s">
        <v>768</v>
      </c>
      <c r="F31" s="5">
        <v>428</v>
      </c>
      <c r="G31" s="33">
        <f t="shared" si="0"/>
        <v>2.7705804540334867E-4</v>
      </c>
      <c r="H31" s="5" t="str">
        <f t="shared" si="1"/>
        <v/>
      </c>
      <c r="I31" s="5" t="str">
        <f t="shared" si="2"/>
        <v/>
      </c>
      <c r="J31" s="5" t="str">
        <f t="shared" si="3"/>
        <v/>
      </c>
      <c r="K31" s="5" t="str">
        <f t="shared" si="4"/>
        <v/>
      </c>
      <c r="S31" s="32" t="e">
        <v>#N/A</v>
      </c>
      <c r="T31" s="32" t="s">
        <v>648</v>
      </c>
      <c r="U31" s="32" t="e">
        <v>#N/A</v>
      </c>
      <c r="W31" t="s">
        <v>570</v>
      </c>
      <c r="X31" t="s">
        <v>568</v>
      </c>
      <c r="Y31" t="s">
        <v>491</v>
      </c>
      <c r="AA31" s="15" t="s">
        <v>1316</v>
      </c>
      <c r="AB31" s="15" t="s">
        <v>2258</v>
      </c>
      <c r="AC31" s="15" t="s">
        <v>503</v>
      </c>
      <c r="AE31" t="s">
        <v>2290</v>
      </c>
      <c r="AF31" t="s">
        <v>2261</v>
      </c>
      <c r="AG31" t="s">
        <v>1029</v>
      </c>
      <c r="AH31" t="s">
        <v>557</v>
      </c>
      <c r="AJ31" s="28" t="s">
        <v>2291</v>
      </c>
      <c r="AK31" s="28" t="s">
        <v>2239</v>
      </c>
      <c r="AL31" s="28" t="s">
        <v>503</v>
      </c>
      <c r="AM31" s="28"/>
      <c r="AN31" s="28" t="s">
        <v>9</v>
      </c>
      <c r="AO31" s="28" t="s">
        <v>2292</v>
      </c>
      <c r="AQ31" t="s">
        <v>495</v>
      </c>
      <c r="AR31" t="s">
        <v>496</v>
      </c>
      <c r="AS31" t="s">
        <v>2240</v>
      </c>
      <c r="AT31" t="s">
        <v>2241</v>
      </c>
      <c r="AU31">
        <v>2014</v>
      </c>
      <c r="AV31" t="s">
        <v>2242</v>
      </c>
      <c r="AW31">
        <v>202763.739</v>
      </c>
    </row>
    <row r="32" spans="1:49" x14ac:dyDescent="0.25">
      <c r="A32" s="5" t="s">
        <v>491</v>
      </c>
      <c r="B32" s="5" t="str">
        <f>INDEX(Regions!B:B,MATCH(A32,Regions!A:A,0))</f>
        <v>Europe</v>
      </c>
      <c r="C32" t="s">
        <v>1126</v>
      </c>
      <c r="D32" s="5" t="s">
        <v>1127</v>
      </c>
      <c r="E32" s="5" t="s">
        <v>1128</v>
      </c>
      <c r="F32" s="5">
        <v>438</v>
      </c>
      <c r="G32" s="33">
        <f t="shared" si="0"/>
        <v>5.1023326141545507E-6</v>
      </c>
      <c r="H32" s="5" t="str">
        <f t="shared" si="1"/>
        <v>NotAccounted</v>
      </c>
      <c r="I32" s="5" t="str">
        <f t="shared" si="2"/>
        <v/>
      </c>
      <c r="J32" s="5" t="e">
        <f t="shared" si="3"/>
        <v>#N/A</v>
      </c>
      <c r="K32" s="5" t="str">
        <f t="shared" si="4"/>
        <v/>
      </c>
      <c r="S32" s="32" t="s">
        <v>2293</v>
      </c>
      <c r="T32" s="32" t="s">
        <v>664</v>
      </c>
      <c r="U32" s="32" t="s">
        <v>517</v>
      </c>
      <c r="W32" t="s">
        <v>624</v>
      </c>
      <c r="X32" t="s">
        <v>622</v>
      </c>
      <c r="Y32" t="s">
        <v>491</v>
      </c>
      <c r="AA32" s="15" t="s">
        <v>1684</v>
      </c>
      <c r="AB32" s="15" t="s">
        <v>2258</v>
      </c>
      <c r="AC32" s="15" t="s">
        <v>503</v>
      </c>
      <c r="AE32" t="s">
        <v>542</v>
      </c>
      <c r="AF32" t="s">
        <v>2294</v>
      </c>
      <c r="AG32" t="s">
        <v>2295</v>
      </c>
      <c r="AH32" t="s">
        <v>542</v>
      </c>
      <c r="AJ32" s="28" t="s">
        <v>618</v>
      </c>
      <c r="AK32" s="28" t="s">
        <v>618</v>
      </c>
      <c r="AL32" s="28" t="s">
        <v>511</v>
      </c>
      <c r="AM32" s="28"/>
      <c r="AN32" s="28" t="s">
        <v>9</v>
      </c>
      <c r="AO32" s="28"/>
      <c r="AQ32" t="s">
        <v>677</v>
      </c>
      <c r="AR32" t="s">
        <v>675</v>
      </c>
      <c r="AS32" t="s">
        <v>2240</v>
      </c>
      <c r="AT32" t="s">
        <v>2241</v>
      </c>
      <c r="AU32">
        <v>2014</v>
      </c>
      <c r="AV32" t="s">
        <v>2242</v>
      </c>
      <c r="AW32">
        <v>28.989000000000001</v>
      </c>
    </row>
    <row r="33" spans="1:49" x14ac:dyDescent="0.25">
      <c r="A33" s="5" t="s">
        <v>491</v>
      </c>
      <c r="B33" s="5" t="str">
        <f>INDEX(Regions!B:B,MATCH(A33,Regions!A:A,0))</f>
        <v>Europe</v>
      </c>
      <c r="C33" t="s">
        <v>757</v>
      </c>
      <c r="D33" s="5" t="s">
        <v>1131</v>
      </c>
      <c r="E33" s="5" t="s">
        <v>756</v>
      </c>
      <c r="F33" s="5">
        <v>440</v>
      </c>
      <c r="G33" s="33">
        <f t="shared" si="0"/>
        <v>4.0731714413030662E-4</v>
      </c>
      <c r="H33" s="5" t="str">
        <f t="shared" si="1"/>
        <v/>
      </c>
      <c r="I33" s="5" t="str">
        <f t="shared" si="2"/>
        <v/>
      </c>
      <c r="J33" s="5" t="str">
        <f t="shared" si="3"/>
        <v/>
      </c>
      <c r="K33" s="5" t="str">
        <f t="shared" si="4"/>
        <v/>
      </c>
      <c r="S33" s="32" t="s">
        <v>2246</v>
      </c>
      <c r="T33" s="32" t="s">
        <v>746</v>
      </c>
      <c r="U33" s="32" t="s">
        <v>517</v>
      </c>
      <c r="W33" t="s">
        <v>715</v>
      </c>
      <c r="X33" t="s">
        <v>716</v>
      </c>
      <c r="Y33" t="s">
        <v>491</v>
      </c>
      <c r="AA33" s="15" t="s">
        <v>1381</v>
      </c>
      <c r="AB33" s="15" t="s">
        <v>2258</v>
      </c>
      <c r="AC33" s="15" t="s">
        <v>503</v>
      </c>
      <c r="AE33" t="s">
        <v>1010</v>
      </c>
      <c r="AF33" t="s">
        <v>2296</v>
      </c>
      <c r="AG33" t="s">
        <v>2295</v>
      </c>
      <c r="AH33" t="s">
        <v>542</v>
      </c>
      <c r="AJ33" s="28" t="s">
        <v>630</v>
      </c>
      <c r="AK33" s="28" t="s">
        <v>630</v>
      </c>
      <c r="AL33" s="28" t="s">
        <v>503</v>
      </c>
      <c r="AM33" s="28" t="s">
        <v>595</v>
      </c>
      <c r="AN33" s="28" t="s">
        <v>9</v>
      </c>
      <c r="AO33" s="28"/>
      <c r="AQ33" t="s">
        <v>684</v>
      </c>
      <c r="AR33" t="s">
        <v>682</v>
      </c>
      <c r="AS33" t="s">
        <v>2240</v>
      </c>
      <c r="AT33" t="s">
        <v>2241</v>
      </c>
      <c r="AU33">
        <v>2014</v>
      </c>
      <c r="AV33" t="s">
        <v>2242</v>
      </c>
      <c r="AW33">
        <v>409.76900000000001</v>
      </c>
    </row>
    <row r="34" spans="1:49" x14ac:dyDescent="0.25">
      <c r="A34" s="5" t="s">
        <v>491</v>
      </c>
      <c r="B34" s="5" t="str">
        <f>INDEX(Regions!B:B,MATCH(A34,Regions!A:A,0))</f>
        <v>Europe</v>
      </c>
      <c r="C34" t="s">
        <v>764</v>
      </c>
      <c r="D34" s="5" t="s">
        <v>1135</v>
      </c>
      <c r="E34" s="5" t="s">
        <v>763</v>
      </c>
      <c r="F34" s="5">
        <v>442</v>
      </c>
      <c r="G34" s="33">
        <f t="shared" si="0"/>
        <v>7.6010130077385616E-5</v>
      </c>
      <c r="H34" s="5" t="str">
        <f t="shared" si="1"/>
        <v/>
      </c>
      <c r="I34" s="5" t="str">
        <f t="shared" si="2"/>
        <v/>
      </c>
      <c r="J34" s="5" t="str">
        <f t="shared" si="3"/>
        <v/>
      </c>
      <c r="K34" s="5" t="str">
        <f t="shared" si="4"/>
        <v/>
      </c>
      <c r="S34" s="32" t="s">
        <v>476</v>
      </c>
      <c r="T34" s="32" t="s">
        <v>476</v>
      </c>
      <c r="U34" s="32" t="s">
        <v>476</v>
      </c>
      <c r="W34" t="s">
        <v>680</v>
      </c>
      <c r="X34" t="s">
        <v>681</v>
      </c>
      <c r="Y34" t="s">
        <v>491</v>
      </c>
      <c r="AA34" s="15" t="s">
        <v>1388</v>
      </c>
      <c r="AB34" s="15" t="s">
        <v>2258</v>
      </c>
      <c r="AC34" s="15" t="s">
        <v>503</v>
      </c>
      <c r="AE34" t="s">
        <v>1061</v>
      </c>
      <c r="AF34" t="s">
        <v>2297</v>
      </c>
      <c r="AG34" t="s">
        <v>2298</v>
      </c>
      <c r="AH34" t="s">
        <v>557</v>
      </c>
      <c r="AJ34" s="28" t="s">
        <v>641</v>
      </c>
      <c r="AK34" s="28" t="s">
        <v>2299</v>
      </c>
      <c r="AL34" s="28" t="s">
        <v>517</v>
      </c>
      <c r="AM34" s="28"/>
      <c r="AN34" s="28" t="s">
        <v>9</v>
      </c>
      <c r="AO34" s="28" t="s">
        <v>2300</v>
      </c>
      <c r="AQ34" t="s">
        <v>661</v>
      </c>
      <c r="AR34" t="s">
        <v>572</v>
      </c>
      <c r="AS34" t="s">
        <v>2240</v>
      </c>
      <c r="AT34" t="s">
        <v>2241</v>
      </c>
      <c r="AU34">
        <v>2014</v>
      </c>
      <c r="AV34" t="s">
        <v>2242</v>
      </c>
      <c r="AW34">
        <v>7245.6459999999997</v>
      </c>
    </row>
    <row r="35" spans="1:49" x14ac:dyDescent="0.25">
      <c r="A35" s="5" t="s">
        <v>491</v>
      </c>
      <c r="B35" s="5" t="str">
        <f>INDEX(Regions!B:B,MATCH(A35,Regions!A:A,0))</f>
        <v>Europe</v>
      </c>
      <c r="C35" t="s">
        <v>776</v>
      </c>
      <c r="D35" s="5" t="s">
        <v>1170</v>
      </c>
      <c r="E35" s="5" t="s">
        <v>775</v>
      </c>
      <c r="F35" s="5">
        <v>470</v>
      </c>
      <c r="G35" s="33">
        <f t="shared" si="0"/>
        <v>5.8969136921028535E-5</v>
      </c>
      <c r="H35" s="5" t="str">
        <f t="shared" si="1"/>
        <v/>
      </c>
      <c r="I35" s="5" t="str">
        <f t="shared" si="2"/>
        <v/>
      </c>
      <c r="J35" s="5" t="str">
        <f t="shared" si="3"/>
        <v/>
      </c>
      <c r="K35" s="5" t="str">
        <f t="shared" si="4"/>
        <v/>
      </c>
      <c r="S35" s="32" t="s">
        <v>1502</v>
      </c>
      <c r="T35" s="32" t="s">
        <v>1503</v>
      </c>
      <c r="U35" s="32" t="s">
        <v>491</v>
      </c>
      <c r="W35" t="s">
        <v>763</v>
      </c>
      <c r="X35" t="s">
        <v>764</v>
      </c>
      <c r="Y35" t="s">
        <v>491</v>
      </c>
      <c r="AA35" s="15" t="s">
        <v>1393</v>
      </c>
      <c r="AB35" s="15" t="s">
        <v>2258</v>
      </c>
      <c r="AC35" s="15" t="s">
        <v>503</v>
      </c>
      <c r="AE35" t="s">
        <v>1354</v>
      </c>
      <c r="AF35" t="s">
        <v>2301</v>
      </c>
      <c r="AG35" t="s">
        <v>1354</v>
      </c>
      <c r="AH35" t="s">
        <v>542</v>
      </c>
      <c r="AJ35" s="28" t="s">
        <v>653</v>
      </c>
      <c r="AK35" s="28" t="s">
        <v>653</v>
      </c>
      <c r="AL35" s="28" t="s">
        <v>503</v>
      </c>
      <c r="AM35" s="28" t="s">
        <v>595</v>
      </c>
      <c r="AN35" s="28" t="s">
        <v>9</v>
      </c>
      <c r="AO35" s="28"/>
      <c r="AQ35" t="s">
        <v>696</v>
      </c>
      <c r="AR35" t="s">
        <v>694</v>
      </c>
      <c r="AS35" t="s">
        <v>2240</v>
      </c>
      <c r="AT35" t="s">
        <v>2241</v>
      </c>
      <c r="AU35">
        <v>2014</v>
      </c>
      <c r="AV35" t="s">
        <v>2242</v>
      </c>
      <c r="AW35">
        <v>17586.03</v>
      </c>
    </row>
    <row r="36" spans="1:49" x14ac:dyDescent="0.25">
      <c r="A36" s="5" t="s">
        <v>491</v>
      </c>
      <c r="B36" s="5" t="str">
        <f>INDEX(Regions!B:B,MATCH(A36,Regions!A:A,0))</f>
        <v>Europe</v>
      </c>
      <c r="C36" t="s">
        <v>1200</v>
      </c>
      <c r="D36" s="5" t="s">
        <v>1201</v>
      </c>
      <c r="E36" s="5" t="s">
        <v>1202</v>
      </c>
      <c r="F36" s="5">
        <v>492</v>
      </c>
      <c r="G36" s="33">
        <f t="shared" si="0"/>
        <v>5.1159030122632823E-6</v>
      </c>
      <c r="H36" s="5" t="str">
        <f t="shared" si="1"/>
        <v>NotAccounted</v>
      </c>
      <c r="I36" s="5" t="str">
        <f t="shared" si="2"/>
        <v/>
      </c>
      <c r="J36" s="5" t="e">
        <f t="shared" si="3"/>
        <v>#N/A</v>
      </c>
      <c r="K36" s="5" t="str">
        <f t="shared" si="4"/>
        <v/>
      </c>
      <c r="S36" s="32" t="s">
        <v>760</v>
      </c>
      <c r="T36" s="32" t="s">
        <v>760</v>
      </c>
      <c r="U36" s="32" t="s">
        <v>503</v>
      </c>
      <c r="W36" t="s">
        <v>169</v>
      </c>
      <c r="X36" t="s">
        <v>782</v>
      </c>
      <c r="Y36" t="s">
        <v>491</v>
      </c>
      <c r="AA36" s="15" t="s">
        <v>1553</v>
      </c>
      <c r="AB36" s="15" t="s">
        <v>2258</v>
      </c>
      <c r="AC36" s="15" t="s">
        <v>503</v>
      </c>
      <c r="AE36" t="s">
        <v>1669</v>
      </c>
      <c r="AF36" t="s">
        <v>2302</v>
      </c>
      <c r="AG36" t="s">
        <v>2295</v>
      </c>
      <c r="AH36" t="s">
        <v>542</v>
      </c>
      <c r="AJ36" s="28" t="s">
        <v>495</v>
      </c>
      <c r="AK36" s="28" t="s">
        <v>495</v>
      </c>
      <c r="AL36" s="28" t="s">
        <v>495</v>
      </c>
      <c r="AM36" s="28" t="s">
        <v>595</v>
      </c>
      <c r="AN36" s="28" t="s">
        <v>9</v>
      </c>
      <c r="AO36" s="28"/>
      <c r="AQ36" t="s">
        <v>705</v>
      </c>
      <c r="AR36" t="s">
        <v>703</v>
      </c>
      <c r="AS36" t="s">
        <v>2240</v>
      </c>
      <c r="AT36" t="s">
        <v>2241</v>
      </c>
      <c r="AU36">
        <v>2014</v>
      </c>
      <c r="AV36" t="s">
        <v>2242</v>
      </c>
      <c r="AW36">
        <v>9844.2990000000009</v>
      </c>
    </row>
    <row r="37" spans="1:49" x14ac:dyDescent="0.25">
      <c r="A37" s="5" t="s">
        <v>491</v>
      </c>
      <c r="B37" s="5" t="str">
        <f>INDEX(Regions!B:B,MATCH(A37,Regions!A:A,0))</f>
        <v>Europe</v>
      </c>
      <c r="C37" t="s">
        <v>1210</v>
      </c>
      <c r="D37" s="5" t="s">
        <v>1211</v>
      </c>
      <c r="E37" s="5" t="s">
        <v>1212</v>
      </c>
      <c r="F37" s="5">
        <v>499</v>
      </c>
      <c r="G37" s="33">
        <f t="shared" si="0"/>
        <v>8.5897193160059055E-5</v>
      </c>
      <c r="H37" s="5" t="str">
        <f t="shared" si="1"/>
        <v/>
      </c>
      <c r="I37" s="5" t="e">
        <f t="shared" si="2"/>
        <v>#N/A</v>
      </c>
      <c r="J37" s="5" t="str">
        <f t="shared" si="3"/>
        <v/>
      </c>
      <c r="K37" s="5" t="str">
        <f t="shared" si="4"/>
        <v/>
      </c>
      <c r="S37" s="32" t="s">
        <v>542</v>
      </c>
      <c r="T37" s="32" t="s">
        <v>542</v>
      </c>
      <c r="U37" s="32" t="s">
        <v>542</v>
      </c>
      <c r="W37" t="s">
        <v>687</v>
      </c>
      <c r="X37" t="s">
        <v>688</v>
      </c>
      <c r="Y37" t="s">
        <v>491</v>
      </c>
      <c r="AA37" s="15" t="s">
        <v>1574</v>
      </c>
      <c r="AB37" s="15" t="s">
        <v>2258</v>
      </c>
      <c r="AC37" s="15" t="s">
        <v>503</v>
      </c>
      <c r="AE37" t="s">
        <v>837</v>
      </c>
      <c r="AF37" t="s">
        <v>2303</v>
      </c>
      <c r="AG37" t="s">
        <v>1354</v>
      </c>
      <c r="AH37" t="s">
        <v>542</v>
      </c>
      <c r="AJ37" s="28" t="s">
        <v>610</v>
      </c>
      <c r="AK37" s="28" t="s">
        <v>2239</v>
      </c>
      <c r="AL37" s="28" t="s">
        <v>503</v>
      </c>
      <c r="AM37" s="28"/>
      <c r="AN37" s="28" t="s">
        <v>9</v>
      </c>
      <c r="AO37" s="28"/>
      <c r="AQ37" t="s">
        <v>732</v>
      </c>
      <c r="AR37" t="s">
        <v>2304</v>
      </c>
      <c r="AS37" t="s">
        <v>2240</v>
      </c>
      <c r="AT37" t="s">
        <v>2241</v>
      </c>
      <c r="AU37">
        <v>2014</v>
      </c>
      <c r="AV37" t="s">
        <v>2242</v>
      </c>
      <c r="AW37">
        <v>518.27099999999996</v>
      </c>
    </row>
    <row r="38" spans="1:49" x14ac:dyDescent="0.25">
      <c r="A38" s="5" t="s">
        <v>491</v>
      </c>
      <c r="B38" s="5" t="str">
        <f>INDEX(Regions!B:B,MATCH(A38,Regions!A:A,0))</f>
        <v>Europe</v>
      </c>
      <c r="C38" t="s">
        <v>782</v>
      </c>
      <c r="D38" s="5" t="s">
        <v>1250</v>
      </c>
      <c r="E38" s="5" t="s">
        <v>169</v>
      </c>
      <c r="F38" s="5">
        <v>528</v>
      </c>
      <c r="G38" s="33">
        <f t="shared" si="0"/>
        <v>2.3155380017262413E-3</v>
      </c>
      <c r="H38" s="5" t="str">
        <f t="shared" si="1"/>
        <v/>
      </c>
      <c r="I38" s="5" t="str">
        <f t="shared" si="2"/>
        <v/>
      </c>
      <c r="J38" s="5" t="str">
        <f t="shared" si="3"/>
        <v/>
      </c>
      <c r="K38" s="5" t="str">
        <f t="shared" si="4"/>
        <v/>
      </c>
      <c r="S38" s="32" t="s">
        <v>2293</v>
      </c>
      <c r="T38" s="32" t="s">
        <v>807</v>
      </c>
      <c r="U38" s="32" t="s">
        <v>517</v>
      </c>
      <c r="W38" t="s">
        <v>708</v>
      </c>
      <c r="X38" t="s">
        <v>709</v>
      </c>
      <c r="Y38" t="s">
        <v>491</v>
      </c>
      <c r="AA38" s="15" t="s">
        <v>677</v>
      </c>
      <c r="AB38" s="15" t="s">
        <v>2258</v>
      </c>
      <c r="AC38" s="15" t="s">
        <v>503</v>
      </c>
      <c r="AE38" t="s">
        <v>1140</v>
      </c>
      <c r="AF38" t="s">
        <v>2303</v>
      </c>
      <c r="AG38" t="s">
        <v>1354</v>
      </c>
      <c r="AH38" t="s">
        <v>542</v>
      </c>
      <c r="AJ38" s="28" t="s">
        <v>684</v>
      </c>
      <c r="AK38" s="28" t="s">
        <v>503</v>
      </c>
      <c r="AL38" s="28" t="s">
        <v>557</v>
      </c>
      <c r="AM38" s="28" t="s">
        <v>613</v>
      </c>
      <c r="AN38" s="28" t="s">
        <v>9</v>
      </c>
      <c r="AO38" s="28"/>
      <c r="AQ38" t="s">
        <v>712</v>
      </c>
      <c r="AR38" t="s">
        <v>710</v>
      </c>
      <c r="AS38" t="s">
        <v>2240</v>
      </c>
      <c r="AT38" t="s">
        <v>2241</v>
      </c>
      <c r="AU38">
        <v>2014</v>
      </c>
      <c r="AV38" t="s">
        <v>2242</v>
      </c>
      <c r="AW38">
        <v>15274.503000000001</v>
      </c>
    </row>
    <row r="39" spans="1:49" x14ac:dyDescent="0.25">
      <c r="A39" s="5" t="s">
        <v>491</v>
      </c>
      <c r="B39" s="5" t="str">
        <f>INDEX(Regions!B:B,MATCH(A39,Regions!A:A,0))</f>
        <v>Europe</v>
      </c>
      <c r="C39" t="s">
        <v>848</v>
      </c>
      <c r="D39" s="5" t="s">
        <v>1290</v>
      </c>
      <c r="E39" s="5" t="s">
        <v>847</v>
      </c>
      <c r="F39" s="5">
        <v>578</v>
      </c>
      <c r="G39" s="33">
        <f t="shared" si="0"/>
        <v>7.0487457808681331E-4</v>
      </c>
      <c r="H39" s="5" t="str">
        <f t="shared" si="1"/>
        <v/>
      </c>
      <c r="I39" s="5" t="str">
        <f t="shared" si="2"/>
        <v/>
      </c>
      <c r="J39" s="5" t="str">
        <f t="shared" si="3"/>
        <v/>
      </c>
      <c r="K39" s="5" t="str">
        <f t="shared" si="4"/>
        <v/>
      </c>
      <c r="S39" s="32" t="s">
        <v>2293</v>
      </c>
      <c r="T39" s="32" t="s">
        <v>719</v>
      </c>
      <c r="U39" s="32" t="s">
        <v>517</v>
      </c>
      <c r="W39" t="s">
        <v>742</v>
      </c>
      <c r="X39" t="s">
        <v>743</v>
      </c>
      <c r="Y39" t="s">
        <v>491</v>
      </c>
      <c r="AA39" s="15" t="s">
        <v>1706</v>
      </c>
      <c r="AB39" s="15" t="s">
        <v>2258</v>
      </c>
      <c r="AC39" s="15" t="s">
        <v>503</v>
      </c>
      <c r="AE39" t="s">
        <v>1207</v>
      </c>
      <c r="AF39" t="s">
        <v>2305</v>
      </c>
      <c r="AG39" t="s">
        <v>2295</v>
      </c>
      <c r="AH39" t="s">
        <v>542</v>
      </c>
      <c r="AJ39" s="28" t="s">
        <v>648</v>
      </c>
      <c r="AK39" s="28" t="s">
        <v>648</v>
      </c>
      <c r="AL39" s="28" t="s">
        <v>481</v>
      </c>
      <c r="AM39" s="28" t="s">
        <v>613</v>
      </c>
      <c r="AN39" s="28" t="s">
        <v>9</v>
      </c>
      <c r="AO39" s="28"/>
      <c r="AQ39" t="s">
        <v>719</v>
      </c>
      <c r="AR39" t="s">
        <v>717</v>
      </c>
      <c r="AS39" t="s">
        <v>2240</v>
      </c>
      <c r="AT39" t="s">
        <v>2241</v>
      </c>
      <c r="AU39">
        <v>2014</v>
      </c>
      <c r="AV39" t="s">
        <v>2242</v>
      </c>
      <c r="AW39">
        <v>22681.851999999999</v>
      </c>
    </row>
    <row r="40" spans="1:49" x14ac:dyDescent="0.25">
      <c r="A40" s="5" t="s">
        <v>491</v>
      </c>
      <c r="B40" s="5" t="str">
        <f>INDEX(Regions!B:B,MATCH(A40,Regions!A:A,0))</f>
        <v>Europe</v>
      </c>
      <c r="C40" t="s">
        <v>789</v>
      </c>
      <c r="D40" s="5" t="s">
        <v>1340</v>
      </c>
      <c r="E40" s="5" t="s">
        <v>788</v>
      </c>
      <c r="F40" s="5">
        <v>616</v>
      </c>
      <c r="G40" s="33">
        <f t="shared" si="0"/>
        <v>5.2213256780314224E-3</v>
      </c>
      <c r="H40" s="5" t="str">
        <f t="shared" si="1"/>
        <v/>
      </c>
      <c r="I40" s="5" t="str">
        <f t="shared" si="2"/>
        <v/>
      </c>
      <c r="J40" s="5" t="str">
        <f t="shared" si="3"/>
        <v/>
      </c>
      <c r="K40" s="5" t="str">
        <f t="shared" si="4"/>
        <v/>
      </c>
      <c r="S40" s="32" t="e">
        <v>#N/A</v>
      </c>
      <c r="T40" s="32" t="s">
        <v>844</v>
      </c>
      <c r="U40" s="32" t="e">
        <v>#N/A</v>
      </c>
      <c r="W40" t="s">
        <v>822</v>
      </c>
      <c r="X40" t="s">
        <v>823</v>
      </c>
      <c r="Y40" t="s">
        <v>491</v>
      </c>
      <c r="AA40" s="15" t="s">
        <v>495</v>
      </c>
      <c r="AB40" s="15" t="s">
        <v>496</v>
      </c>
      <c r="AC40" s="15" t="s">
        <v>495</v>
      </c>
      <c r="AE40" t="s">
        <v>712</v>
      </c>
      <c r="AF40" t="s">
        <v>2306</v>
      </c>
      <c r="AG40" t="s">
        <v>557</v>
      </c>
      <c r="AH40" t="s">
        <v>557</v>
      </c>
      <c r="AJ40" s="28" t="s">
        <v>2307</v>
      </c>
      <c r="AK40" s="28" t="s">
        <v>2299</v>
      </c>
      <c r="AL40" s="28" t="s">
        <v>517</v>
      </c>
      <c r="AM40" s="28"/>
      <c r="AN40" s="28" t="s">
        <v>9</v>
      </c>
      <c r="AO40" s="28" t="s">
        <v>2308</v>
      </c>
      <c r="AQ40" t="s">
        <v>476</v>
      </c>
      <c r="AR40" t="s">
        <v>477</v>
      </c>
      <c r="AS40" t="s">
        <v>2240</v>
      </c>
      <c r="AT40" t="s">
        <v>2241</v>
      </c>
      <c r="AU40">
        <v>2014</v>
      </c>
      <c r="AV40" t="s">
        <v>2242</v>
      </c>
      <c r="AW40">
        <v>35664.337</v>
      </c>
    </row>
    <row r="41" spans="1:49" x14ac:dyDescent="0.25">
      <c r="A41" s="5" t="s">
        <v>491</v>
      </c>
      <c r="B41" s="5" t="str">
        <f>INDEX(Regions!B:B,MATCH(A41,Regions!A:A,0))</f>
        <v>Europe</v>
      </c>
      <c r="C41" t="s">
        <v>796</v>
      </c>
      <c r="D41" s="5" t="s">
        <v>1344</v>
      </c>
      <c r="E41" s="5" t="s">
        <v>795</v>
      </c>
      <c r="F41" s="5">
        <v>620</v>
      </c>
      <c r="G41" s="33">
        <f t="shared" si="0"/>
        <v>1.4280744024600918E-3</v>
      </c>
      <c r="H41" s="5" t="str">
        <f t="shared" si="1"/>
        <v/>
      </c>
      <c r="I41" s="5" t="str">
        <f t="shared" si="2"/>
        <v/>
      </c>
      <c r="J41" s="5" t="str">
        <f t="shared" si="3"/>
        <v/>
      </c>
      <c r="K41" s="5" t="str">
        <f t="shared" si="4"/>
        <v/>
      </c>
      <c r="S41" s="32" t="s">
        <v>2293</v>
      </c>
      <c r="T41" s="32" t="s">
        <v>785</v>
      </c>
      <c r="U41" s="32" t="s">
        <v>517</v>
      </c>
      <c r="W41" t="s">
        <v>840</v>
      </c>
      <c r="X41" t="s">
        <v>2309</v>
      </c>
      <c r="Y41" t="s">
        <v>491</v>
      </c>
      <c r="AA41" s="15" t="s">
        <v>539</v>
      </c>
      <c r="AB41" s="15" t="s">
        <v>2310</v>
      </c>
      <c r="AC41" s="15" t="s">
        <v>503</v>
      </c>
      <c r="AE41" t="s">
        <v>1029</v>
      </c>
      <c r="AF41" t="s">
        <v>2311</v>
      </c>
      <c r="AG41" t="s">
        <v>1029</v>
      </c>
      <c r="AH41" t="s">
        <v>557</v>
      </c>
      <c r="AJ41" s="28" t="s">
        <v>664</v>
      </c>
      <c r="AK41" s="28" t="s">
        <v>664</v>
      </c>
      <c r="AL41" s="28" t="s">
        <v>517</v>
      </c>
      <c r="AM41" s="28" t="s">
        <v>605</v>
      </c>
      <c r="AN41" s="28" t="s">
        <v>9</v>
      </c>
      <c r="AO41" s="28"/>
      <c r="AQ41" t="s">
        <v>739</v>
      </c>
      <c r="AR41" t="s">
        <v>737</v>
      </c>
      <c r="AS41" t="s">
        <v>2240</v>
      </c>
      <c r="AT41" t="s">
        <v>2241</v>
      </c>
      <c r="AU41">
        <v>2014</v>
      </c>
      <c r="AV41" t="s">
        <v>2242</v>
      </c>
      <c r="AW41">
        <v>60.847999999999999</v>
      </c>
    </row>
    <row r="42" spans="1:49" x14ac:dyDescent="0.25">
      <c r="A42" s="5" t="s">
        <v>491</v>
      </c>
      <c r="B42" s="5" t="str">
        <f>INDEX(Regions!B:B,MATCH(A42,Regions!A:A,0))</f>
        <v>Europe</v>
      </c>
      <c r="C42" t="s">
        <v>804</v>
      </c>
      <c r="D42" s="5" t="s">
        <v>1366</v>
      </c>
      <c r="E42" s="5" t="s">
        <v>803</v>
      </c>
      <c r="F42" s="5">
        <v>642</v>
      </c>
      <c r="G42" s="33">
        <f t="shared" si="0"/>
        <v>2.7464196624108102E-3</v>
      </c>
      <c r="H42" s="5" t="str">
        <f t="shared" si="1"/>
        <v/>
      </c>
      <c r="I42" s="5" t="e">
        <f t="shared" si="2"/>
        <v>#N/A</v>
      </c>
      <c r="J42" s="5" t="str">
        <f t="shared" si="3"/>
        <v/>
      </c>
      <c r="K42" s="5" t="str">
        <f t="shared" si="4"/>
        <v/>
      </c>
      <c r="S42" s="32" t="e">
        <v>#N/A</v>
      </c>
      <c r="T42" s="32" t="s">
        <v>792</v>
      </c>
      <c r="U42" s="32" t="e">
        <v>#N/A</v>
      </c>
      <c r="W42" t="s">
        <v>668</v>
      </c>
      <c r="X42" t="s">
        <v>669</v>
      </c>
      <c r="Y42" t="s">
        <v>491</v>
      </c>
      <c r="AA42" s="15" t="s">
        <v>653</v>
      </c>
      <c r="AB42" s="15" t="s">
        <v>2310</v>
      </c>
      <c r="AC42" s="15" t="s">
        <v>503</v>
      </c>
      <c r="AE42" t="s">
        <v>1098</v>
      </c>
      <c r="AF42" t="s">
        <v>2312</v>
      </c>
      <c r="AG42" t="s">
        <v>557</v>
      </c>
      <c r="AH42" t="s">
        <v>557</v>
      </c>
      <c r="AJ42" s="28" t="s">
        <v>746</v>
      </c>
      <c r="AK42" s="28" t="s">
        <v>746</v>
      </c>
      <c r="AL42" s="28" t="s">
        <v>517</v>
      </c>
      <c r="AM42" s="28" t="s">
        <v>605</v>
      </c>
      <c r="AN42" s="28" t="s">
        <v>9</v>
      </c>
      <c r="AO42" s="28"/>
      <c r="AQ42" t="s">
        <v>746</v>
      </c>
      <c r="AR42" t="s">
        <v>2313</v>
      </c>
      <c r="AS42" t="s">
        <v>2240</v>
      </c>
      <c r="AT42" t="s">
        <v>2241</v>
      </c>
      <c r="AU42">
        <v>2014</v>
      </c>
      <c r="AV42" t="s">
        <v>2242</v>
      </c>
      <c r="AW42">
        <v>4464.1750000000002</v>
      </c>
    </row>
    <row r="43" spans="1:49" x14ac:dyDescent="0.25">
      <c r="A43" s="5" t="s">
        <v>491</v>
      </c>
      <c r="B43" s="5" t="str">
        <f>INDEX(Regions!B:B,MATCH(A43,Regions!A:A,0))</f>
        <v>Europe</v>
      </c>
      <c r="C43" t="s">
        <v>1402</v>
      </c>
      <c r="D43" s="5" t="s">
        <v>1403</v>
      </c>
      <c r="E43" s="5" t="s">
        <v>1404</v>
      </c>
      <c r="F43" s="5">
        <v>674</v>
      </c>
      <c r="G43" s="33">
        <f t="shared" si="0"/>
        <v>4.5163381503684322E-6</v>
      </c>
      <c r="H43" s="5" t="str">
        <f t="shared" si="1"/>
        <v>NotAccounted</v>
      </c>
      <c r="I43" s="5" t="str">
        <f t="shared" si="2"/>
        <v/>
      </c>
      <c r="J43" s="5" t="e">
        <f t="shared" si="3"/>
        <v>#N/A</v>
      </c>
      <c r="K43" s="5" t="str">
        <f t="shared" si="4"/>
        <v/>
      </c>
      <c r="S43" s="32" t="s">
        <v>2285</v>
      </c>
      <c r="T43" s="32" t="s">
        <v>772</v>
      </c>
      <c r="U43" s="32" t="s">
        <v>503</v>
      </c>
      <c r="W43" t="s">
        <v>722</v>
      </c>
      <c r="X43" t="s">
        <v>723</v>
      </c>
      <c r="Y43" t="s">
        <v>491</v>
      </c>
      <c r="AA43" s="15" t="s">
        <v>2307</v>
      </c>
      <c r="AB43" s="15" t="s">
        <v>2310</v>
      </c>
      <c r="AC43" s="15" t="s">
        <v>503</v>
      </c>
      <c r="AE43" t="s">
        <v>1156</v>
      </c>
      <c r="AF43" t="s">
        <v>2314</v>
      </c>
      <c r="AG43" t="s">
        <v>557</v>
      </c>
      <c r="AH43" t="s">
        <v>557</v>
      </c>
      <c r="AJ43" s="28" t="s">
        <v>476</v>
      </c>
      <c r="AK43" s="28" t="s">
        <v>476</v>
      </c>
      <c r="AL43" s="28" t="s">
        <v>476</v>
      </c>
      <c r="AM43" s="28" t="s">
        <v>586</v>
      </c>
      <c r="AN43" s="28" t="s">
        <v>9</v>
      </c>
      <c r="AO43" s="28"/>
      <c r="AQ43" t="s">
        <v>753</v>
      </c>
      <c r="AR43" t="s">
        <v>751</v>
      </c>
      <c r="AS43" t="s">
        <v>2240</v>
      </c>
      <c r="AT43" t="s">
        <v>2241</v>
      </c>
      <c r="AU43">
        <v>2014</v>
      </c>
      <c r="AV43" t="s">
        <v>2242</v>
      </c>
      <c r="AW43">
        <v>13663.566000000001</v>
      </c>
    </row>
    <row r="44" spans="1:49" x14ac:dyDescent="0.25">
      <c r="A44" s="5" t="s">
        <v>491</v>
      </c>
      <c r="B44" s="5" t="str">
        <f>INDEX(Regions!B:B,MATCH(A44,Regions!A:A,0))</f>
        <v>Europe</v>
      </c>
      <c r="C44" t="s">
        <v>1423</v>
      </c>
      <c r="D44" s="5" t="s">
        <v>1424</v>
      </c>
      <c r="E44" s="5" t="s">
        <v>1425</v>
      </c>
      <c r="F44" s="5">
        <v>688</v>
      </c>
      <c r="G44" s="33">
        <f t="shared" si="0"/>
        <v>1.2197305476418527E-3</v>
      </c>
      <c r="H44" s="5" t="str">
        <f t="shared" si="1"/>
        <v/>
      </c>
      <c r="I44" s="5" t="e">
        <f t="shared" si="2"/>
        <v>#N/A</v>
      </c>
      <c r="J44" s="5" t="str">
        <f t="shared" si="3"/>
        <v/>
      </c>
      <c r="K44" s="5" t="str">
        <f t="shared" si="4"/>
        <v/>
      </c>
      <c r="S44" s="32" t="e">
        <v>#N/A</v>
      </c>
      <c r="T44" s="32" t="s">
        <v>779</v>
      </c>
      <c r="U44" s="32" t="e">
        <v>#N/A</v>
      </c>
      <c r="W44" t="s">
        <v>749</v>
      </c>
      <c r="X44" t="s">
        <v>750</v>
      </c>
      <c r="Y44" t="s">
        <v>491</v>
      </c>
      <c r="AA44" s="15" t="s">
        <v>760</v>
      </c>
      <c r="AB44" s="15" t="s">
        <v>2310</v>
      </c>
      <c r="AC44" s="15" t="s">
        <v>503</v>
      </c>
      <c r="AE44" t="s">
        <v>1337</v>
      </c>
      <c r="AF44" t="s">
        <v>2315</v>
      </c>
      <c r="AG44" t="s">
        <v>557</v>
      </c>
      <c r="AH44" t="s">
        <v>557</v>
      </c>
      <c r="AJ44" s="28" t="s">
        <v>2247</v>
      </c>
      <c r="AK44" s="28" t="s">
        <v>2276</v>
      </c>
      <c r="AL44" s="28" t="s">
        <v>517</v>
      </c>
      <c r="AM44" s="28"/>
      <c r="AN44" s="28" t="s">
        <v>9</v>
      </c>
      <c r="AO44" s="28" t="s">
        <v>2316</v>
      </c>
      <c r="AQ44" t="s">
        <v>2317</v>
      </c>
      <c r="AR44" t="s">
        <v>2318</v>
      </c>
      <c r="AS44" t="s">
        <v>2240</v>
      </c>
      <c r="AT44" t="s">
        <v>2241</v>
      </c>
      <c r="AU44">
        <v>2014</v>
      </c>
      <c r="AV44" t="s">
        <v>2242</v>
      </c>
      <c r="AW44">
        <v>164.1</v>
      </c>
    </row>
    <row r="45" spans="1:49" x14ac:dyDescent="0.25">
      <c r="A45" s="5" t="s">
        <v>491</v>
      </c>
      <c r="B45" s="5" t="str">
        <f>INDEX(Regions!B:B,MATCH(A45,Regions!A:A,0))</f>
        <v>Europe</v>
      </c>
      <c r="C45" t="s">
        <v>811</v>
      </c>
      <c r="D45" s="5" t="s">
        <v>1444</v>
      </c>
      <c r="E45" s="5" t="s">
        <v>810</v>
      </c>
      <c r="F45" s="5">
        <v>703</v>
      </c>
      <c r="G45" s="33">
        <f t="shared" si="0"/>
        <v>7.4415169660478912E-4</v>
      </c>
      <c r="H45" s="5" t="str">
        <f t="shared" si="1"/>
        <v/>
      </c>
      <c r="I45" s="5" t="str">
        <f t="shared" si="2"/>
        <v/>
      </c>
      <c r="J45" s="5" t="str">
        <f t="shared" si="3"/>
        <v/>
      </c>
      <c r="K45" s="5" t="str">
        <f t="shared" si="4"/>
        <v/>
      </c>
      <c r="S45" s="32" t="s">
        <v>2293</v>
      </c>
      <c r="T45" s="32" t="s">
        <v>732</v>
      </c>
      <c r="U45" s="32" t="s">
        <v>517</v>
      </c>
      <c r="W45" t="s">
        <v>775</v>
      </c>
      <c r="X45" t="s">
        <v>776</v>
      </c>
      <c r="Y45" t="s">
        <v>491</v>
      </c>
      <c r="AA45" s="15" t="s">
        <v>772</v>
      </c>
      <c r="AB45" s="15" t="s">
        <v>2310</v>
      </c>
      <c r="AC45" s="15" t="s">
        <v>503</v>
      </c>
      <c r="AE45" t="s">
        <v>1441</v>
      </c>
      <c r="AF45" t="s">
        <v>2319</v>
      </c>
      <c r="AG45" t="s">
        <v>557</v>
      </c>
      <c r="AH45" t="s">
        <v>557</v>
      </c>
      <c r="AJ45" s="28" t="s">
        <v>1503</v>
      </c>
      <c r="AK45" s="28" t="s">
        <v>2320</v>
      </c>
      <c r="AL45" s="28" t="s">
        <v>491</v>
      </c>
      <c r="AM45" s="28"/>
      <c r="AN45" s="28" t="s">
        <v>9</v>
      </c>
      <c r="AO45" s="28"/>
      <c r="AQ45" t="s">
        <v>760</v>
      </c>
      <c r="AR45" t="s">
        <v>758</v>
      </c>
      <c r="AS45" t="s">
        <v>2240</v>
      </c>
      <c r="AT45" t="s">
        <v>2241</v>
      </c>
      <c r="AU45">
        <v>2014</v>
      </c>
      <c r="AV45" t="s">
        <v>2242</v>
      </c>
      <c r="AW45">
        <v>17758.958999999999</v>
      </c>
    </row>
    <row r="46" spans="1:49" x14ac:dyDescent="0.25">
      <c r="A46" s="5" t="s">
        <v>491</v>
      </c>
      <c r="B46" s="5" t="str">
        <f>INDEX(Regions!B:B,MATCH(A46,Regions!A:A,0))</f>
        <v>Europe</v>
      </c>
      <c r="C46" t="s">
        <v>816</v>
      </c>
      <c r="D46" s="5" t="s">
        <v>1448</v>
      </c>
      <c r="E46" s="5" t="s">
        <v>815</v>
      </c>
      <c r="F46" s="5">
        <v>705</v>
      </c>
      <c r="G46" s="33">
        <f t="shared" si="0"/>
        <v>2.8340035601034745E-4</v>
      </c>
      <c r="H46" s="5" t="str">
        <f t="shared" si="1"/>
        <v/>
      </c>
      <c r="I46" s="5" t="str">
        <f t="shared" si="2"/>
        <v/>
      </c>
      <c r="J46" s="5" t="str">
        <f t="shared" si="3"/>
        <v/>
      </c>
      <c r="K46" s="5" t="str">
        <f t="shared" si="4"/>
        <v/>
      </c>
      <c r="S46" s="32" t="s">
        <v>2285</v>
      </c>
      <c r="T46" s="32" t="s">
        <v>799</v>
      </c>
      <c r="U46" s="32" t="s">
        <v>503</v>
      </c>
      <c r="W46" t="s">
        <v>795</v>
      </c>
      <c r="X46" t="s">
        <v>796</v>
      </c>
      <c r="Y46" t="s">
        <v>491</v>
      </c>
      <c r="AA46" s="15" t="s">
        <v>874</v>
      </c>
      <c r="AB46" s="15" t="s">
        <v>2310</v>
      </c>
      <c r="AC46" s="15" t="s">
        <v>503</v>
      </c>
      <c r="AE46" t="s">
        <v>1520</v>
      </c>
      <c r="AF46" t="s">
        <v>2321</v>
      </c>
      <c r="AG46" t="s">
        <v>557</v>
      </c>
      <c r="AH46" t="s">
        <v>557</v>
      </c>
      <c r="AJ46" s="28" t="s">
        <v>760</v>
      </c>
      <c r="AK46" s="28" t="s">
        <v>760</v>
      </c>
      <c r="AL46" s="28" t="s">
        <v>503</v>
      </c>
      <c r="AM46" s="28" t="s">
        <v>595</v>
      </c>
      <c r="AN46" s="28" t="s">
        <v>9</v>
      </c>
      <c r="AO46" s="28"/>
      <c r="AQ46" t="s">
        <v>542</v>
      </c>
      <c r="AR46" t="s">
        <v>543</v>
      </c>
      <c r="AS46" t="s">
        <v>2240</v>
      </c>
      <c r="AT46" t="s">
        <v>2241</v>
      </c>
      <c r="AU46">
        <v>2014</v>
      </c>
      <c r="AV46" t="s">
        <v>2242</v>
      </c>
      <c r="AW46">
        <v>1430670.8189999999</v>
      </c>
    </row>
    <row r="47" spans="1:49" x14ac:dyDescent="0.25">
      <c r="A47" s="5" t="s">
        <v>491</v>
      </c>
      <c r="B47" s="5" t="str">
        <f>INDEX(Regions!B:B,MATCH(A47,Regions!A:A,0))</f>
        <v>Europe</v>
      </c>
      <c r="C47" t="s">
        <v>693</v>
      </c>
      <c r="D47" s="5" t="s">
        <v>1467</v>
      </c>
      <c r="E47" s="5" t="s">
        <v>692</v>
      </c>
      <c r="F47" s="5">
        <v>724</v>
      </c>
      <c r="G47" s="33">
        <f t="shared" si="0"/>
        <v>6.4120713631350378E-3</v>
      </c>
      <c r="H47" s="5" t="str">
        <f t="shared" si="1"/>
        <v/>
      </c>
      <c r="I47" s="5" t="str">
        <f t="shared" si="2"/>
        <v/>
      </c>
      <c r="J47" s="5" t="str">
        <f t="shared" si="3"/>
        <v/>
      </c>
      <c r="K47" s="5" t="str">
        <f t="shared" si="4"/>
        <v/>
      </c>
      <c r="S47" s="32" t="s">
        <v>2264</v>
      </c>
      <c r="T47" s="32" t="s">
        <v>819</v>
      </c>
      <c r="U47" s="32" t="s">
        <v>503</v>
      </c>
      <c r="W47" t="s">
        <v>692</v>
      </c>
      <c r="X47" t="s">
        <v>693</v>
      </c>
      <c r="Y47" t="s">
        <v>491</v>
      </c>
      <c r="AA47" s="15" t="s">
        <v>908</v>
      </c>
      <c r="AB47" s="15" t="s">
        <v>2310</v>
      </c>
      <c r="AC47" s="15" t="s">
        <v>503</v>
      </c>
      <c r="AE47" t="s">
        <v>1637</v>
      </c>
      <c r="AF47" t="s">
        <v>2322</v>
      </c>
      <c r="AG47" t="s">
        <v>557</v>
      </c>
      <c r="AH47" t="s">
        <v>557</v>
      </c>
      <c r="AJ47" s="28" t="s">
        <v>542</v>
      </c>
      <c r="AK47" s="28" t="s">
        <v>2323</v>
      </c>
      <c r="AL47" s="28" t="s">
        <v>542</v>
      </c>
      <c r="AM47" s="28" t="s">
        <v>613</v>
      </c>
      <c r="AN47" s="28" t="s">
        <v>9</v>
      </c>
      <c r="AO47" s="28"/>
      <c r="AQ47" t="s">
        <v>1010</v>
      </c>
      <c r="AR47" t="s">
        <v>2324</v>
      </c>
      <c r="AS47" t="s">
        <v>2240</v>
      </c>
      <c r="AT47" t="s">
        <v>2241</v>
      </c>
      <c r="AU47">
        <v>2014</v>
      </c>
      <c r="AV47" t="s">
        <v>2242</v>
      </c>
      <c r="AW47">
        <v>7134.67</v>
      </c>
    </row>
    <row r="48" spans="1:49" x14ac:dyDescent="0.25">
      <c r="A48" s="5" t="s">
        <v>491</v>
      </c>
      <c r="B48" s="5" t="str">
        <f>INDEX(Regions!B:B,MATCH(A48,Regions!A:A,0))</f>
        <v>Europe</v>
      </c>
      <c r="C48" t="s">
        <v>823</v>
      </c>
      <c r="D48" s="5" t="s">
        <v>1498</v>
      </c>
      <c r="E48" s="5" t="s">
        <v>822</v>
      </c>
      <c r="F48" s="5">
        <v>752</v>
      </c>
      <c r="G48" s="33">
        <f t="shared" si="0"/>
        <v>1.3285462241613615E-3</v>
      </c>
      <c r="H48" s="5" t="str">
        <f t="shared" si="1"/>
        <v/>
      </c>
      <c r="I48" s="5" t="str">
        <f t="shared" si="2"/>
        <v/>
      </c>
      <c r="J48" s="5" t="str">
        <f t="shared" si="3"/>
        <v/>
      </c>
      <c r="K48" s="5" t="str">
        <f t="shared" si="4"/>
        <v/>
      </c>
      <c r="S48" s="32" t="e">
        <v>#N/A</v>
      </c>
      <c r="T48" s="32" t="s">
        <v>739</v>
      </c>
      <c r="U48" s="32" t="e">
        <v>#N/A</v>
      </c>
      <c r="W48" t="s">
        <v>547</v>
      </c>
      <c r="X48" t="s">
        <v>545</v>
      </c>
      <c r="Y48" t="s">
        <v>511</v>
      </c>
      <c r="AA48" s="15" t="s">
        <v>1657</v>
      </c>
      <c r="AB48" s="15" t="s">
        <v>2310</v>
      </c>
      <c r="AC48" s="15" t="s">
        <v>503</v>
      </c>
      <c r="AE48" t="s">
        <v>684</v>
      </c>
      <c r="AF48" t="s">
        <v>2325</v>
      </c>
      <c r="AG48" t="s">
        <v>557</v>
      </c>
      <c r="AH48" t="s">
        <v>557</v>
      </c>
      <c r="AJ48" s="28" t="s">
        <v>807</v>
      </c>
      <c r="AK48" s="28" t="s">
        <v>807</v>
      </c>
      <c r="AL48" s="28" t="s">
        <v>517</v>
      </c>
      <c r="AM48" s="28" t="s">
        <v>605</v>
      </c>
      <c r="AN48" s="28" t="s">
        <v>9</v>
      </c>
      <c r="AO48" s="28"/>
      <c r="AQ48" t="s">
        <v>1140</v>
      </c>
      <c r="AR48" t="s">
        <v>2326</v>
      </c>
      <c r="AS48" t="s">
        <v>2240</v>
      </c>
      <c r="AT48" t="s">
        <v>2241</v>
      </c>
      <c r="AU48">
        <v>2014</v>
      </c>
      <c r="AV48" t="s">
        <v>2242</v>
      </c>
      <c r="AW48">
        <v>590.20799999999997</v>
      </c>
    </row>
    <row r="49" spans="1:49" x14ac:dyDescent="0.25">
      <c r="A49" s="5" t="s">
        <v>491</v>
      </c>
      <c r="B49" s="5" t="str">
        <f>INDEX(Regions!B:B,MATCH(A49,Regions!A:A,0))</f>
        <v>Europe</v>
      </c>
      <c r="C49" t="s">
        <v>1501</v>
      </c>
      <c r="D49" s="5" t="s">
        <v>1502</v>
      </c>
      <c r="E49" s="5" t="s">
        <v>1503</v>
      </c>
      <c r="F49" s="5">
        <v>756</v>
      </c>
      <c r="G49" s="33">
        <f t="shared" si="0"/>
        <v>1.1248354951620631E-3</v>
      </c>
      <c r="H49" s="5" t="str">
        <f t="shared" si="1"/>
        <v/>
      </c>
      <c r="I49" s="5" t="str">
        <f t="shared" si="2"/>
        <v/>
      </c>
      <c r="J49" s="5" t="str">
        <f t="shared" si="3"/>
        <v/>
      </c>
      <c r="K49" s="5" t="str">
        <f t="shared" si="4"/>
        <v/>
      </c>
      <c r="S49" s="32" t="s">
        <v>2327</v>
      </c>
      <c r="T49" s="32" t="s">
        <v>668</v>
      </c>
      <c r="U49" s="32" t="s">
        <v>491</v>
      </c>
      <c r="W49" t="s">
        <v>578</v>
      </c>
      <c r="X49" t="s">
        <v>576</v>
      </c>
      <c r="Y49" t="s">
        <v>511</v>
      </c>
      <c r="AA49" s="15" t="s">
        <v>990</v>
      </c>
      <c r="AB49" s="15" t="s">
        <v>2310</v>
      </c>
      <c r="AC49" s="15" t="s">
        <v>503</v>
      </c>
      <c r="AE49" t="s">
        <v>1232</v>
      </c>
      <c r="AF49" t="s">
        <v>2328</v>
      </c>
      <c r="AG49" t="s">
        <v>557</v>
      </c>
      <c r="AH49" t="s">
        <v>557</v>
      </c>
      <c r="AJ49" s="28" t="s">
        <v>719</v>
      </c>
      <c r="AK49" s="28" t="s">
        <v>719</v>
      </c>
      <c r="AL49" s="28" t="s">
        <v>517</v>
      </c>
      <c r="AM49" s="28" t="s">
        <v>605</v>
      </c>
      <c r="AN49" s="28" t="s">
        <v>9</v>
      </c>
      <c r="AO49" s="28"/>
      <c r="AQ49" t="s">
        <v>2329</v>
      </c>
      <c r="AR49" t="s">
        <v>2330</v>
      </c>
      <c r="AS49" t="s">
        <v>2240</v>
      </c>
      <c r="AT49" t="s">
        <v>2241</v>
      </c>
      <c r="AU49">
        <v>2014</v>
      </c>
      <c r="AV49" t="s">
        <v>2242</v>
      </c>
      <c r="AW49">
        <v>1399453.9650000001</v>
      </c>
    </row>
    <row r="50" spans="1:49" x14ac:dyDescent="0.25">
      <c r="A50" s="5" t="s">
        <v>491</v>
      </c>
      <c r="B50" s="5" t="str">
        <f>INDEX(Regions!B:B,MATCH(A50,Regions!A:A,0))</f>
        <v>Europe</v>
      </c>
      <c r="C50" t="s">
        <v>1523</v>
      </c>
      <c r="D50" s="5" t="s">
        <v>1524</v>
      </c>
      <c r="E50" s="5" t="s">
        <v>1525</v>
      </c>
      <c r="F50" s="5">
        <v>807</v>
      </c>
      <c r="G50" s="33">
        <f t="shared" si="0"/>
        <v>2.8481044374110016E-4</v>
      </c>
      <c r="H50" s="5" t="str">
        <f t="shared" si="1"/>
        <v/>
      </c>
      <c r="I50" s="5" t="str">
        <f t="shared" si="2"/>
        <v/>
      </c>
      <c r="J50" s="5" t="str">
        <f t="shared" si="3"/>
        <v/>
      </c>
      <c r="K50" s="5" t="str">
        <f t="shared" si="4"/>
        <v/>
      </c>
      <c r="S50" s="32" t="s">
        <v>2331</v>
      </c>
      <c r="T50" s="32" t="s">
        <v>673</v>
      </c>
      <c r="U50" s="32" t="s">
        <v>491</v>
      </c>
      <c r="W50" t="s">
        <v>618</v>
      </c>
      <c r="X50" t="s">
        <v>616</v>
      </c>
      <c r="Y50" t="s">
        <v>511</v>
      </c>
      <c r="AA50" s="15" t="s">
        <v>1327</v>
      </c>
      <c r="AB50" s="15" t="s">
        <v>2310</v>
      </c>
      <c r="AC50" s="15" t="s">
        <v>503</v>
      </c>
      <c r="AE50" t="s">
        <v>1530</v>
      </c>
      <c r="AF50" t="s">
        <v>2328</v>
      </c>
      <c r="AG50" t="s">
        <v>557</v>
      </c>
      <c r="AH50" t="s">
        <v>557</v>
      </c>
      <c r="AJ50" s="28" t="s">
        <v>844</v>
      </c>
      <c r="AK50" s="28" t="s">
        <v>844</v>
      </c>
      <c r="AL50" s="28" t="s">
        <v>517</v>
      </c>
      <c r="AM50" s="28" t="s">
        <v>605</v>
      </c>
      <c r="AN50" s="28" t="s">
        <v>9</v>
      </c>
      <c r="AO50" s="28"/>
      <c r="AQ50" t="s">
        <v>1669</v>
      </c>
      <c r="AR50" t="s">
        <v>2332</v>
      </c>
      <c r="AS50" t="s">
        <v>2240</v>
      </c>
      <c r="AT50" t="s">
        <v>2241</v>
      </c>
      <c r="AU50">
        <v>2014</v>
      </c>
      <c r="AV50" t="s">
        <v>2242</v>
      </c>
      <c r="AW50">
        <v>23491.975999999999</v>
      </c>
    </row>
    <row r="51" spans="1:49" x14ac:dyDescent="0.25">
      <c r="A51" s="5" t="s">
        <v>491</v>
      </c>
      <c r="B51" s="5" t="str">
        <f>INDEX(Regions!B:B,MATCH(A51,Regions!A:A,0))</f>
        <v>Europe</v>
      </c>
      <c r="C51" t="s">
        <v>1599</v>
      </c>
      <c r="D51" s="5" t="s">
        <v>1600</v>
      </c>
      <c r="E51" s="5" t="s">
        <v>840</v>
      </c>
      <c r="F51" s="5">
        <v>826</v>
      </c>
      <c r="G51" s="33">
        <f t="shared" si="0"/>
        <v>8.9678463967296038E-3</v>
      </c>
      <c r="H51" s="5" t="str">
        <f t="shared" si="1"/>
        <v/>
      </c>
      <c r="I51" s="5" t="str">
        <f t="shared" si="2"/>
        <v/>
      </c>
      <c r="J51" s="5" t="str">
        <f t="shared" si="3"/>
        <v/>
      </c>
      <c r="K51" s="5" t="str">
        <f t="shared" si="4"/>
        <v/>
      </c>
      <c r="S51" s="32" t="s">
        <v>2333</v>
      </c>
      <c r="T51" s="32" t="s">
        <v>680</v>
      </c>
      <c r="U51" s="32" t="s">
        <v>491</v>
      </c>
      <c r="W51" t="s">
        <v>940</v>
      </c>
      <c r="X51" t="s">
        <v>938</v>
      </c>
      <c r="Y51" t="s">
        <v>511</v>
      </c>
      <c r="AA51" s="15" t="s">
        <v>1332</v>
      </c>
      <c r="AB51" s="15" t="s">
        <v>2310</v>
      </c>
      <c r="AC51" s="15" t="s">
        <v>503</v>
      </c>
      <c r="AE51" t="s">
        <v>601</v>
      </c>
      <c r="AF51" t="s">
        <v>2334</v>
      </c>
      <c r="AG51" t="s">
        <v>2285</v>
      </c>
      <c r="AH51" t="s">
        <v>481</v>
      </c>
      <c r="AJ51" s="28" t="s">
        <v>785</v>
      </c>
      <c r="AK51" s="28" t="s">
        <v>785</v>
      </c>
      <c r="AL51" s="28" t="s">
        <v>517</v>
      </c>
      <c r="AM51" s="28" t="s">
        <v>605</v>
      </c>
      <c r="AN51" s="28" t="s">
        <v>9</v>
      </c>
      <c r="AO51" s="28"/>
      <c r="AQ51" t="s">
        <v>772</v>
      </c>
      <c r="AR51" t="s">
        <v>770</v>
      </c>
      <c r="AS51" t="s">
        <v>2240</v>
      </c>
      <c r="AT51" t="s">
        <v>2241</v>
      </c>
      <c r="AU51">
        <v>2014</v>
      </c>
      <c r="AV51" t="s">
        <v>2242</v>
      </c>
      <c r="AW51">
        <v>46967.696000000004</v>
      </c>
    </row>
    <row r="52" spans="1:49" x14ac:dyDescent="0.25">
      <c r="A52" s="5" t="s">
        <v>491</v>
      </c>
      <c r="B52" s="5" t="str">
        <f>INDEX(Regions!B:B,MATCH(A52,Regions!A:A,0))</f>
        <v>Europe</v>
      </c>
      <c r="C52" t="s">
        <v>1672</v>
      </c>
      <c r="D52" s="5" t="s">
        <v>1673</v>
      </c>
      <c r="E52" s="5" t="s">
        <v>1674</v>
      </c>
      <c r="F52" s="5">
        <v>304</v>
      </c>
      <c r="G52" s="33">
        <f t="shared" si="0"/>
        <v>7.7284102602865901E-6</v>
      </c>
      <c r="H52" s="5" t="str">
        <f t="shared" si="1"/>
        <v/>
      </c>
      <c r="I52" s="5" t="e">
        <f t="shared" si="2"/>
        <v>#N/A</v>
      </c>
      <c r="J52" s="5" t="e">
        <f t="shared" si="3"/>
        <v>#N/A</v>
      </c>
      <c r="K52" s="5" t="str">
        <f t="shared" si="4"/>
        <v>USA</v>
      </c>
      <c r="S52" s="32" t="s">
        <v>2246</v>
      </c>
      <c r="T52" s="32" t="s">
        <v>857</v>
      </c>
      <c r="U52" s="32" t="s">
        <v>517</v>
      </c>
      <c r="W52" t="s">
        <v>1072</v>
      </c>
      <c r="X52" t="s">
        <v>1070</v>
      </c>
      <c r="Y52" t="s">
        <v>511</v>
      </c>
      <c r="AA52" s="15" t="s">
        <v>2335</v>
      </c>
      <c r="AB52" s="15" t="s">
        <v>2310</v>
      </c>
      <c r="AC52" s="15" t="s">
        <v>503</v>
      </c>
      <c r="AE52" t="s">
        <v>550</v>
      </c>
      <c r="AF52" t="s">
        <v>2336</v>
      </c>
      <c r="AG52" t="s">
        <v>550</v>
      </c>
      <c r="AH52" t="s">
        <v>550</v>
      </c>
      <c r="AJ52" s="28" t="s">
        <v>792</v>
      </c>
      <c r="AK52" s="28" t="s">
        <v>2270</v>
      </c>
      <c r="AL52" s="28" t="s">
        <v>481</v>
      </c>
      <c r="AM52" s="28"/>
      <c r="AN52" s="28" t="s">
        <v>9</v>
      </c>
      <c r="AO52" s="28"/>
      <c r="AQ52" t="s">
        <v>779</v>
      </c>
      <c r="AR52" t="s">
        <v>777</v>
      </c>
      <c r="AS52" t="s">
        <v>2240</v>
      </c>
      <c r="AT52" t="s">
        <v>2241</v>
      </c>
      <c r="AU52">
        <v>2014</v>
      </c>
      <c r="AV52" t="s">
        <v>2242</v>
      </c>
      <c r="AW52">
        <v>759.39</v>
      </c>
    </row>
    <row r="53" spans="1:49" x14ac:dyDescent="0.25">
      <c r="A53" s="5" t="s">
        <v>491</v>
      </c>
      <c r="B53" s="5" t="str">
        <f>INDEX(Regions!B:B,MATCH(A53,Regions!A:A,0))</f>
        <v>Europe</v>
      </c>
      <c r="C53" t="s">
        <v>1677</v>
      </c>
      <c r="D53" s="5" t="s">
        <v>1678</v>
      </c>
      <c r="E53" s="5" t="s">
        <v>1679</v>
      </c>
      <c r="F53" s="5">
        <v>744</v>
      </c>
      <c r="G53" s="33" t="e">
        <f t="shared" si="0"/>
        <v>#N/A</v>
      </c>
      <c r="H53" s="5" t="str">
        <f t="shared" si="1"/>
        <v>NotAccounted</v>
      </c>
      <c r="I53" s="5" t="str">
        <f t="shared" si="2"/>
        <v/>
      </c>
      <c r="J53" s="5" t="e">
        <f t="shared" si="3"/>
        <v>#N/A</v>
      </c>
      <c r="K53" s="5" t="str">
        <f t="shared" si="4"/>
        <v/>
      </c>
      <c r="L53" t="s">
        <v>2300</v>
      </c>
      <c r="S53" s="32" t="s">
        <v>2264</v>
      </c>
      <c r="T53" s="32" t="s">
        <v>862</v>
      </c>
      <c r="U53" s="32" t="s">
        <v>503</v>
      </c>
      <c r="W53" t="s">
        <v>1093</v>
      </c>
      <c r="X53" t="s">
        <v>1091</v>
      </c>
      <c r="Y53" t="s">
        <v>511</v>
      </c>
      <c r="AA53" s="15" t="s">
        <v>1488</v>
      </c>
      <c r="AB53" s="15" t="s">
        <v>2310</v>
      </c>
      <c r="AC53" s="15" t="s">
        <v>503</v>
      </c>
      <c r="AE53" t="s">
        <v>1300</v>
      </c>
      <c r="AF53" t="s">
        <v>2337</v>
      </c>
      <c r="AG53" t="s">
        <v>2285</v>
      </c>
      <c r="AH53" t="s">
        <v>481</v>
      </c>
      <c r="AJ53" s="28" t="s">
        <v>772</v>
      </c>
      <c r="AK53" s="28" t="s">
        <v>772</v>
      </c>
      <c r="AL53" s="28" t="s">
        <v>503</v>
      </c>
      <c r="AM53" s="28" t="s">
        <v>595</v>
      </c>
      <c r="AN53" s="28" t="s">
        <v>9</v>
      </c>
      <c r="AO53" s="28"/>
      <c r="AQ53" t="s">
        <v>785</v>
      </c>
      <c r="AR53" t="s">
        <v>783</v>
      </c>
      <c r="AS53" t="s">
        <v>2240</v>
      </c>
      <c r="AT53" t="s">
        <v>2241</v>
      </c>
      <c r="AU53">
        <v>2014</v>
      </c>
      <c r="AV53" t="s">
        <v>2242</v>
      </c>
      <c r="AW53">
        <v>4736.9759999999997</v>
      </c>
    </row>
    <row r="54" spans="1:49" x14ac:dyDescent="0.25">
      <c r="A54" s="5" t="s">
        <v>491</v>
      </c>
      <c r="B54" s="5" t="str">
        <f>INDEX(Regions!B:B,MATCH(A54,Regions!A:A,0))</f>
        <v>Europe</v>
      </c>
      <c r="C54" t="s">
        <v>1688</v>
      </c>
      <c r="D54" s="5" t="s">
        <v>1689</v>
      </c>
      <c r="E54" s="5" t="s">
        <v>1690</v>
      </c>
      <c r="F54" s="5">
        <v>833</v>
      </c>
      <c r="G54" s="33">
        <f t="shared" si="0"/>
        <v>1.1444094922239883E-5</v>
      </c>
      <c r="H54" s="5" t="str">
        <f t="shared" si="1"/>
        <v>NotAccounted</v>
      </c>
      <c r="I54" s="5" t="e">
        <f t="shared" si="2"/>
        <v>#N/A</v>
      </c>
      <c r="J54" s="5" t="e">
        <f t="shared" si="3"/>
        <v>#N/A</v>
      </c>
      <c r="K54" s="5" t="str">
        <f t="shared" si="4"/>
        <v/>
      </c>
      <c r="S54" s="32" t="s">
        <v>2338</v>
      </c>
      <c r="T54" s="32" t="s">
        <v>687</v>
      </c>
      <c r="U54" s="32" t="s">
        <v>491</v>
      </c>
      <c r="W54" t="s">
        <v>1359</v>
      </c>
      <c r="X54" t="s">
        <v>2339</v>
      </c>
      <c r="Y54" t="s">
        <v>511</v>
      </c>
      <c r="AA54" s="15" t="s">
        <v>1615</v>
      </c>
      <c r="AB54" s="15" t="s">
        <v>2310</v>
      </c>
      <c r="AC54" s="15" t="s">
        <v>503</v>
      </c>
      <c r="AE54" t="s">
        <v>1472</v>
      </c>
      <c r="AF54" t="s">
        <v>2340</v>
      </c>
      <c r="AG54" t="s">
        <v>2285</v>
      </c>
      <c r="AH54" t="s">
        <v>481</v>
      </c>
      <c r="AJ54" s="28" t="s">
        <v>779</v>
      </c>
      <c r="AK54" s="28" t="s">
        <v>2276</v>
      </c>
      <c r="AL54" s="28" t="s">
        <v>517</v>
      </c>
      <c r="AM54" s="28"/>
      <c r="AN54" s="28" t="s">
        <v>9</v>
      </c>
      <c r="AO54" s="28"/>
      <c r="AQ54" t="s">
        <v>792</v>
      </c>
      <c r="AR54" t="s">
        <v>790</v>
      </c>
      <c r="AS54" t="s">
        <v>2240</v>
      </c>
      <c r="AT54" t="s">
        <v>2241</v>
      </c>
      <c r="AU54">
        <v>2014</v>
      </c>
      <c r="AV54" t="s">
        <v>2242</v>
      </c>
      <c r="AW54">
        <v>17.690999999999999</v>
      </c>
    </row>
    <row r="55" spans="1:49" x14ac:dyDescent="0.25">
      <c r="A55" s="5" t="s">
        <v>491</v>
      </c>
      <c r="B55" s="5" t="str">
        <f>INDEX(Regions!B:B,MATCH(A55,Regions!A:A,0))</f>
        <v>Europe</v>
      </c>
      <c r="C55" t="s">
        <v>1693</v>
      </c>
      <c r="D55" s="5" t="s">
        <v>1694</v>
      </c>
      <c r="E55" s="5" t="s">
        <v>1695</v>
      </c>
      <c r="F55" s="5">
        <v>832</v>
      </c>
      <c r="G55" s="33" t="e">
        <f t="shared" si="0"/>
        <v>#N/A</v>
      </c>
      <c r="H55" s="5" t="str">
        <f t="shared" si="1"/>
        <v>NotAccounted</v>
      </c>
      <c r="I55" s="5" t="e">
        <f t="shared" si="2"/>
        <v>#N/A</v>
      </c>
      <c r="J55" s="5" t="e">
        <f t="shared" si="3"/>
        <v>#N/A</v>
      </c>
      <c r="K55" s="5" t="str">
        <f t="shared" si="4"/>
        <v/>
      </c>
      <c r="S55" s="32" t="s">
        <v>2264</v>
      </c>
      <c r="T55" s="32" t="s">
        <v>869</v>
      </c>
      <c r="U55" s="32" t="s">
        <v>503</v>
      </c>
      <c r="W55" t="s">
        <v>1514</v>
      </c>
      <c r="X55" t="s">
        <v>1512</v>
      </c>
      <c r="Y55" t="s">
        <v>511</v>
      </c>
      <c r="AA55" s="15" t="s">
        <v>1632</v>
      </c>
      <c r="AB55" s="15" t="s">
        <v>2310</v>
      </c>
      <c r="AC55" s="15" t="s">
        <v>503</v>
      </c>
      <c r="AE55" t="s">
        <v>480</v>
      </c>
      <c r="AF55" t="s">
        <v>2341</v>
      </c>
      <c r="AG55" t="s">
        <v>2285</v>
      </c>
      <c r="AH55" t="s">
        <v>481</v>
      </c>
      <c r="AJ55" s="28" t="s">
        <v>732</v>
      </c>
      <c r="AK55" s="28" t="s">
        <v>2299</v>
      </c>
      <c r="AL55" s="28" t="s">
        <v>517</v>
      </c>
      <c r="AM55" s="28"/>
      <c r="AN55" s="28" t="s">
        <v>9</v>
      </c>
      <c r="AO55" s="28"/>
      <c r="AQ55" t="s">
        <v>799</v>
      </c>
      <c r="AR55" t="s">
        <v>797</v>
      </c>
      <c r="AS55" t="s">
        <v>2240</v>
      </c>
      <c r="AT55" t="s">
        <v>2241</v>
      </c>
      <c r="AU55">
        <v>2014</v>
      </c>
      <c r="AV55" t="s">
        <v>2242</v>
      </c>
      <c r="AW55">
        <v>4795.3959999999997</v>
      </c>
    </row>
    <row r="56" spans="1:49" x14ac:dyDescent="0.25">
      <c r="A56" s="5" t="s">
        <v>491</v>
      </c>
      <c r="B56" s="5" t="str">
        <f>INDEX(Regions!B:B,MATCH(A56,Regions!A:A,0))</f>
        <v>Europe</v>
      </c>
      <c r="C56" t="s">
        <v>1699</v>
      </c>
      <c r="D56" s="5" t="s">
        <v>1700</v>
      </c>
      <c r="E56" s="5" t="s">
        <v>1701</v>
      </c>
      <c r="F56" s="5">
        <v>831</v>
      </c>
      <c r="G56" s="33" t="e">
        <f t="shared" si="0"/>
        <v>#N/A</v>
      </c>
      <c r="H56" s="5" t="str">
        <f t="shared" si="1"/>
        <v>NotAccounted</v>
      </c>
      <c r="I56" s="5" t="e">
        <f t="shared" si="2"/>
        <v>#N/A</v>
      </c>
      <c r="J56" s="5" t="e">
        <f t="shared" si="3"/>
        <v>#N/A</v>
      </c>
      <c r="K56" s="5" t="str">
        <f t="shared" si="4"/>
        <v/>
      </c>
      <c r="S56" s="32" t="s">
        <v>2342</v>
      </c>
      <c r="T56" s="32" t="s">
        <v>499</v>
      </c>
      <c r="U56" s="32" t="s">
        <v>500</v>
      </c>
      <c r="W56" t="s">
        <v>1569</v>
      </c>
      <c r="X56" t="s">
        <v>1567</v>
      </c>
      <c r="Y56" t="s">
        <v>511</v>
      </c>
      <c r="AA56" s="15" t="s">
        <v>499</v>
      </c>
      <c r="AB56" s="15" t="s">
        <v>2343</v>
      </c>
      <c r="AC56" s="15" t="s">
        <v>500</v>
      </c>
      <c r="AE56" t="s">
        <v>648</v>
      </c>
      <c r="AF56" t="s">
        <v>2341</v>
      </c>
      <c r="AG56" t="s">
        <v>2285</v>
      </c>
      <c r="AH56" t="s">
        <v>481</v>
      </c>
      <c r="AJ56" s="28" t="s">
        <v>799</v>
      </c>
      <c r="AK56" s="28" t="s">
        <v>799</v>
      </c>
      <c r="AL56" s="28" t="s">
        <v>503</v>
      </c>
      <c r="AM56" s="28" t="s">
        <v>595</v>
      </c>
      <c r="AN56" s="28" t="s">
        <v>9</v>
      </c>
      <c r="AO56" s="28"/>
      <c r="AQ56" t="s">
        <v>807</v>
      </c>
      <c r="AR56" t="s">
        <v>805</v>
      </c>
      <c r="AS56" t="s">
        <v>2240</v>
      </c>
      <c r="AT56" t="s">
        <v>2241</v>
      </c>
      <c r="AU56">
        <v>2014</v>
      </c>
      <c r="AV56" t="s">
        <v>2242</v>
      </c>
      <c r="AW56">
        <v>22647.684000000001</v>
      </c>
    </row>
    <row r="57" spans="1:49" x14ac:dyDescent="0.25">
      <c r="A57" s="5" t="s">
        <v>511</v>
      </c>
      <c r="B57" s="5" t="str">
        <f>INDEX(Regions!B:B,MATCH(A57,Regions!A:A,0))</f>
        <v>Former Soviet Union</v>
      </c>
      <c r="C57" t="s">
        <v>545</v>
      </c>
      <c r="D57" s="5" t="s">
        <v>546</v>
      </c>
      <c r="E57" s="5" t="s">
        <v>547</v>
      </c>
      <c r="F57" s="5">
        <v>51</v>
      </c>
      <c r="G57" s="33">
        <f t="shared" si="0"/>
        <v>3.9921767258031972E-4</v>
      </c>
      <c r="H57" s="5" t="str">
        <f t="shared" si="1"/>
        <v/>
      </c>
      <c r="I57" s="5" t="str">
        <f t="shared" si="2"/>
        <v/>
      </c>
      <c r="J57" s="5" t="str">
        <f t="shared" si="3"/>
        <v/>
      </c>
      <c r="K57" s="5" t="str">
        <f t="shared" si="4"/>
        <v/>
      </c>
      <c r="S57" s="32" t="s">
        <v>2285</v>
      </c>
      <c r="T57" s="32" t="s">
        <v>874</v>
      </c>
      <c r="U57" s="32" t="s">
        <v>503</v>
      </c>
      <c r="W57" t="s">
        <v>1621</v>
      </c>
      <c r="X57" t="s">
        <v>1619</v>
      </c>
      <c r="Y57" t="s">
        <v>511</v>
      </c>
      <c r="AA57" s="15" t="s">
        <v>879</v>
      </c>
      <c r="AB57" s="15" t="s">
        <v>2343</v>
      </c>
      <c r="AC57" s="15" t="s">
        <v>500</v>
      </c>
      <c r="AE57" t="s">
        <v>1161</v>
      </c>
      <c r="AF57" t="s">
        <v>2341</v>
      </c>
      <c r="AG57" t="s">
        <v>2285</v>
      </c>
      <c r="AH57" t="s">
        <v>481</v>
      </c>
      <c r="AJ57" s="28" t="s">
        <v>819</v>
      </c>
      <c r="AK57" s="28" t="s">
        <v>819</v>
      </c>
      <c r="AL57" s="28" t="s">
        <v>503</v>
      </c>
      <c r="AM57" s="28" t="s">
        <v>595</v>
      </c>
      <c r="AN57" s="28" t="s">
        <v>9</v>
      </c>
      <c r="AO57" s="28"/>
      <c r="AQ57" t="s">
        <v>728</v>
      </c>
      <c r="AR57" t="s">
        <v>729</v>
      </c>
      <c r="AS57" t="s">
        <v>2240</v>
      </c>
      <c r="AT57" t="s">
        <v>2241</v>
      </c>
      <c r="AU57">
        <v>2014</v>
      </c>
      <c r="AV57" t="s">
        <v>2242</v>
      </c>
      <c r="AW57">
        <v>4255.5119999999997</v>
      </c>
    </row>
    <row r="58" spans="1:49" x14ac:dyDescent="0.25">
      <c r="A58" s="5" t="s">
        <v>511</v>
      </c>
      <c r="B58" s="5" t="str">
        <f>INDEX(Regions!B:B,MATCH(A58,Regions!A:A,0))</f>
        <v>Former Soviet Union</v>
      </c>
      <c r="C58" t="s">
        <v>576</v>
      </c>
      <c r="D58" s="5" t="s">
        <v>577</v>
      </c>
      <c r="E58" s="5" t="s">
        <v>578</v>
      </c>
      <c r="F58" s="5">
        <v>31</v>
      </c>
      <c r="G58" s="33">
        <f t="shared" si="0"/>
        <v>1.3029805536476104E-3</v>
      </c>
      <c r="H58" s="5" t="str">
        <f t="shared" si="1"/>
        <v/>
      </c>
      <c r="I58" s="5" t="str">
        <f t="shared" si="2"/>
        <v/>
      </c>
      <c r="J58" s="5" t="str">
        <f t="shared" si="3"/>
        <v/>
      </c>
      <c r="K58" s="5" t="str">
        <f t="shared" si="4"/>
        <v/>
      </c>
      <c r="S58" s="32" t="s">
        <v>879</v>
      </c>
      <c r="T58" s="32" t="s">
        <v>879</v>
      </c>
      <c r="U58" s="32" t="s">
        <v>500</v>
      </c>
      <c r="W58" t="s">
        <v>550</v>
      </c>
      <c r="X58" t="s">
        <v>551</v>
      </c>
      <c r="Y58" t="s">
        <v>550</v>
      </c>
      <c r="AA58" s="15" t="s">
        <v>1122</v>
      </c>
      <c r="AB58" s="15" t="s">
        <v>2343</v>
      </c>
      <c r="AC58" s="15" t="s">
        <v>500</v>
      </c>
      <c r="AE58" t="s">
        <v>1247</v>
      </c>
      <c r="AF58" t="s">
        <v>2344</v>
      </c>
      <c r="AG58" t="s">
        <v>2285</v>
      </c>
      <c r="AH58" t="s">
        <v>481</v>
      </c>
      <c r="AJ58" s="28" t="s">
        <v>2345</v>
      </c>
      <c r="AK58" s="28" t="s">
        <v>2239</v>
      </c>
      <c r="AL58" s="28" t="s">
        <v>503</v>
      </c>
      <c r="AM58" s="28"/>
      <c r="AN58" s="28" t="s">
        <v>9</v>
      </c>
      <c r="AO58" s="28" t="s">
        <v>2346</v>
      </c>
      <c r="AQ58" t="s">
        <v>819</v>
      </c>
      <c r="AR58" t="s">
        <v>817</v>
      </c>
      <c r="AS58" t="s">
        <v>2240</v>
      </c>
      <c r="AT58" t="s">
        <v>2241</v>
      </c>
      <c r="AU58">
        <v>2014</v>
      </c>
      <c r="AV58" t="s">
        <v>2242</v>
      </c>
      <c r="AW58">
        <v>11306.904</v>
      </c>
    </row>
    <row r="59" spans="1:49" x14ac:dyDescent="0.25">
      <c r="A59" s="5" t="s">
        <v>511</v>
      </c>
      <c r="B59" s="5" t="str">
        <f>INDEX(Regions!B:B,MATCH(A59,Regions!A:A,0))</f>
        <v>Former Soviet Union</v>
      </c>
      <c r="C59" t="s">
        <v>616</v>
      </c>
      <c r="D59" s="5" t="s">
        <v>617</v>
      </c>
      <c r="E59" s="5" t="s">
        <v>618</v>
      </c>
      <c r="F59" s="5">
        <v>112</v>
      </c>
      <c r="G59" s="33">
        <f t="shared" si="0"/>
        <v>1.2928525131924609E-3</v>
      </c>
      <c r="H59" s="5" t="str">
        <f t="shared" si="1"/>
        <v/>
      </c>
      <c r="I59" s="5" t="str">
        <f t="shared" si="2"/>
        <v/>
      </c>
      <c r="J59" s="5" t="str">
        <f t="shared" si="3"/>
        <v/>
      </c>
      <c r="K59" s="5" t="str">
        <f t="shared" si="4"/>
        <v/>
      </c>
      <c r="S59" s="32" t="e">
        <v>#N/A</v>
      </c>
      <c r="T59" s="32" t="s">
        <v>895</v>
      </c>
      <c r="U59" s="32" t="e">
        <v>#N/A</v>
      </c>
      <c r="W59" t="s">
        <v>1029</v>
      </c>
      <c r="X59" t="s">
        <v>1027</v>
      </c>
      <c r="Y59" t="s">
        <v>557</v>
      </c>
      <c r="AA59" s="15" t="s">
        <v>1222</v>
      </c>
      <c r="AB59" s="15" t="s">
        <v>2343</v>
      </c>
      <c r="AC59" s="15" t="s">
        <v>500</v>
      </c>
      <c r="AE59" t="s">
        <v>476</v>
      </c>
      <c r="AF59" t="s">
        <v>2347</v>
      </c>
      <c r="AG59" t="s">
        <v>476</v>
      </c>
      <c r="AH59" t="s">
        <v>476</v>
      </c>
      <c r="AJ59" s="28" t="s">
        <v>2245</v>
      </c>
      <c r="AK59" s="28" t="s">
        <v>2276</v>
      </c>
      <c r="AL59" s="28" t="s">
        <v>517</v>
      </c>
      <c r="AM59" s="28"/>
      <c r="AN59" s="28" t="s">
        <v>9</v>
      </c>
      <c r="AO59" s="28" t="s">
        <v>2348</v>
      </c>
      <c r="AQ59" t="s">
        <v>2345</v>
      </c>
      <c r="AR59" t="s">
        <v>2346</v>
      </c>
      <c r="AS59" t="s">
        <v>2240</v>
      </c>
      <c r="AT59" t="s">
        <v>2241</v>
      </c>
      <c r="AU59">
        <v>2014</v>
      </c>
      <c r="AV59" t="s">
        <v>2242</v>
      </c>
      <c r="AW59">
        <v>158.422</v>
      </c>
    </row>
    <row r="60" spans="1:49" x14ac:dyDescent="0.25">
      <c r="A60" s="5" t="s">
        <v>511</v>
      </c>
      <c r="B60" s="5" t="str">
        <f>INDEX(Regions!B:B,MATCH(A60,Regions!A:A,0))</f>
        <v>Former Soviet Union</v>
      </c>
      <c r="C60" t="s">
        <v>938</v>
      </c>
      <c r="D60" s="5" t="s">
        <v>939</v>
      </c>
      <c r="E60" s="5" t="s">
        <v>940</v>
      </c>
      <c r="F60" s="5">
        <v>268</v>
      </c>
      <c r="G60" s="33">
        <f t="shared" si="0"/>
        <v>5.5313915921759702E-4</v>
      </c>
      <c r="H60" s="5" t="str">
        <f t="shared" si="1"/>
        <v/>
      </c>
      <c r="I60" s="5" t="str">
        <f t="shared" si="2"/>
        <v/>
      </c>
      <c r="J60" s="5" t="str">
        <f t="shared" si="3"/>
        <v/>
      </c>
      <c r="K60" s="5" t="str">
        <f t="shared" si="4"/>
        <v/>
      </c>
      <c r="S60" s="32" t="e">
        <v>#N/A</v>
      </c>
      <c r="T60" s="32" t="s">
        <v>1662</v>
      </c>
      <c r="U60" s="32" t="e">
        <v>#N/A</v>
      </c>
      <c r="W60" t="s">
        <v>1061</v>
      </c>
      <c r="X60" t="s">
        <v>1059</v>
      </c>
      <c r="Y60" t="s">
        <v>557</v>
      </c>
      <c r="AA60" s="15" t="s">
        <v>1558</v>
      </c>
      <c r="AB60" s="15" t="s">
        <v>2343</v>
      </c>
      <c r="AC60" s="15" t="s">
        <v>500</v>
      </c>
      <c r="AE60" t="s">
        <v>486</v>
      </c>
      <c r="AF60" t="s">
        <v>2349</v>
      </c>
      <c r="AG60" t="s">
        <v>486</v>
      </c>
      <c r="AH60" t="s">
        <v>486</v>
      </c>
      <c r="AJ60" s="28" t="s">
        <v>739</v>
      </c>
      <c r="AK60" s="28" t="s">
        <v>2239</v>
      </c>
      <c r="AL60" s="28" t="s">
        <v>503</v>
      </c>
      <c r="AM60" s="28"/>
      <c r="AN60" s="28" t="s">
        <v>9</v>
      </c>
      <c r="AO60" s="28"/>
      <c r="AQ60" t="s">
        <v>668</v>
      </c>
      <c r="AR60" t="s">
        <v>669</v>
      </c>
      <c r="AS60" t="s">
        <v>2240</v>
      </c>
      <c r="AT60" t="s">
        <v>2241</v>
      </c>
      <c r="AU60">
        <v>2014</v>
      </c>
      <c r="AV60" t="s">
        <v>2242</v>
      </c>
      <c r="AW60">
        <v>1152.2850000000001</v>
      </c>
    </row>
    <row r="61" spans="1:49" x14ac:dyDescent="0.25">
      <c r="A61" s="5" t="s">
        <v>511</v>
      </c>
      <c r="B61" s="5" t="str">
        <f>INDEX(Regions!B:B,MATCH(A61,Regions!A:A,0))</f>
        <v>Former Soviet Union</v>
      </c>
      <c r="C61" t="s">
        <v>1070</v>
      </c>
      <c r="D61" s="5" t="s">
        <v>1071</v>
      </c>
      <c r="E61" s="5" t="s">
        <v>1072</v>
      </c>
      <c r="F61" s="5">
        <v>398</v>
      </c>
      <c r="G61" s="33">
        <f t="shared" si="0"/>
        <v>2.3717512512333705E-3</v>
      </c>
      <c r="H61" s="5" t="str">
        <f t="shared" si="1"/>
        <v/>
      </c>
      <c r="I61" s="5" t="str">
        <f t="shared" si="2"/>
        <v/>
      </c>
      <c r="J61" s="5" t="str">
        <f t="shared" si="3"/>
        <v/>
      </c>
      <c r="K61" s="5" t="str">
        <f t="shared" si="4"/>
        <v/>
      </c>
      <c r="S61" s="32" t="s">
        <v>2350</v>
      </c>
      <c r="T61" s="32" t="s">
        <v>692</v>
      </c>
      <c r="U61" s="32" t="s">
        <v>491</v>
      </c>
      <c r="W61" t="s">
        <v>1156</v>
      </c>
      <c r="X61" t="s">
        <v>1154</v>
      </c>
      <c r="Y61" t="s">
        <v>557</v>
      </c>
      <c r="AA61" s="15" t="s">
        <v>1662</v>
      </c>
      <c r="AB61" s="15" t="s">
        <v>2343</v>
      </c>
      <c r="AC61" s="15" t="s">
        <v>500</v>
      </c>
      <c r="AE61" t="s">
        <v>1191</v>
      </c>
      <c r="AF61" t="s">
        <v>2351</v>
      </c>
      <c r="AG61" t="s">
        <v>1191</v>
      </c>
      <c r="AH61" t="s">
        <v>503</v>
      </c>
      <c r="AJ61" s="28" t="s">
        <v>668</v>
      </c>
      <c r="AK61" s="28" t="s">
        <v>668</v>
      </c>
      <c r="AL61" s="28" t="s">
        <v>491</v>
      </c>
      <c r="AM61" s="28"/>
      <c r="AN61" s="28" t="s">
        <v>9</v>
      </c>
      <c r="AO61" s="28"/>
      <c r="AQ61" t="s">
        <v>673</v>
      </c>
      <c r="AR61" t="s">
        <v>2352</v>
      </c>
      <c r="AS61" t="s">
        <v>2240</v>
      </c>
      <c r="AT61" t="s">
        <v>2241</v>
      </c>
      <c r="AU61">
        <v>2014</v>
      </c>
      <c r="AV61" t="s">
        <v>2242</v>
      </c>
      <c r="AW61">
        <v>10591.108</v>
      </c>
    </row>
    <row r="62" spans="1:49" x14ac:dyDescent="0.25">
      <c r="A62" s="5" t="s">
        <v>511</v>
      </c>
      <c r="B62" s="5" t="str">
        <f>INDEX(Regions!B:B,MATCH(A62,Regions!A:A,0))</f>
        <v>Former Soviet Union</v>
      </c>
      <c r="C62" t="s">
        <v>1091</v>
      </c>
      <c r="D62" s="5" t="s">
        <v>1092</v>
      </c>
      <c r="E62" s="5" t="s">
        <v>1093</v>
      </c>
      <c r="F62" s="5">
        <v>417</v>
      </c>
      <c r="G62" s="33">
        <f t="shared" si="0"/>
        <v>8.0113763635574582E-4</v>
      </c>
      <c r="H62" s="5" t="str">
        <f t="shared" si="1"/>
        <v/>
      </c>
      <c r="I62" s="5" t="str">
        <f t="shared" si="2"/>
        <v/>
      </c>
      <c r="J62" s="5" t="str">
        <f t="shared" si="3"/>
        <v/>
      </c>
      <c r="K62" s="5" t="str">
        <f t="shared" si="4"/>
        <v/>
      </c>
      <c r="S62" s="32" t="s">
        <v>2353</v>
      </c>
      <c r="T62" s="32" t="s">
        <v>701</v>
      </c>
      <c r="U62" s="32" t="s">
        <v>491</v>
      </c>
      <c r="W62" t="s">
        <v>1191</v>
      </c>
      <c r="X62" t="s">
        <v>1189</v>
      </c>
      <c r="Y62" t="s">
        <v>503</v>
      </c>
      <c r="AA62" s="15" t="s">
        <v>635</v>
      </c>
      <c r="AB62" s="15" t="s">
        <v>2354</v>
      </c>
      <c r="AC62" s="15" t="s">
        <v>517</v>
      </c>
      <c r="AE62" t="s">
        <v>641</v>
      </c>
      <c r="AF62" t="s">
        <v>2355</v>
      </c>
      <c r="AG62" t="s">
        <v>486</v>
      </c>
      <c r="AH62" t="s">
        <v>486</v>
      </c>
      <c r="AJ62" s="28" t="s">
        <v>673</v>
      </c>
      <c r="AK62" s="28" t="s">
        <v>673</v>
      </c>
      <c r="AL62" s="28" t="s">
        <v>491</v>
      </c>
      <c r="AM62" s="28"/>
      <c r="AN62" s="28" t="s">
        <v>9</v>
      </c>
      <c r="AO62" s="28"/>
      <c r="AQ62" t="s">
        <v>837</v>
      </c>
      <c r="AR62" t="s">
        <v>2356</v>
      </c>
      <c r="AS62" t="s">
        <v>2240</v>
      </c>
      <c r="AT62" t="s">
        <v>2241</v>
      </c>
      <c r="AU62">
        <v>2014</v>
      </c>
      <c r="AV62" t="s">
        <v>2242</v>
      </c>
      <c r="AW62">
        <v>25057.79</v>
      </c>
    </row>
    <row r="63" spans="1:49" x14ac:dyDescent="0.25">
      <c r="A63" s="5" t="s">
        <v>511</v>
      </c>
      <c r="B63" s="5" t="str">
        <f>INDEX(Regions!B:B,MATCH(A63,Regions!A:A,0))</f>
        <v>Former Soviet Union</v>
      </c>
      <c r="C63" t="s">
        <v>1357</v>
      </c>
      <c r="D63" s="5" t="s">
        <v>1358</v>
      </c>
      <c r="E63" s="5" t="s">
        <v>1359</v>
      </c>
      <c r="F63" s="5">
        <v>498</v>
      </c>
      <c r="G63" s="33">
        <f t="shared" si="0"/>
        <v>5.5836115806961952E-4</v>
      </c>
      <c r="H63" s="5" t="str">
        <f t="shared" si="1"/>
        <v/>
      </c>
      <c r="I63" s="5" t="str">
        <f t="shared" si="2"/>
        <v/>
      </c>
      <c r="J63" s="5" t="str">
        <f t="shared" si="3"/>
        <v/>
      </c>
      <c r="K63" s="5" t="str">
        <f t="shared" si="4"/>
        <v/>
      </c>
      <c r="S63" s="32" t="s">
        <v>903</v>
      </c>
      <c r="T63" s="32" t="s">
        <v>903</v>
      </c>
      <c r="U63" s="32" t="s">
        <v>517</v>
      </c>
      <c r="W63" t="s">
        <v>592</v>
      </c>
      <c r="X63" t="s">
        <v>590</v>
      </c>
      <c r="Y63" t="s">
        <v>500</v>
      </c>
      <c r="AA63" s="15" t="s">
        <v>696</v>
      </c>
      <c r="AB63" s="15" t="s">
        <v>2354</v>
      </c>
      <c r="AC63" s="15" t="s">
        <v>517</v>
      </c>
      <c r="AE63" t="s">
        <v>1674</v>
      </c>
      <c r="AF63" t="s">
        <v>2355</v>
      </c>
      <c r="AG63" t="s">
        <v>486</v>
      </c>
      <c r="AH63" t="s">
        <v>486</v>
      </c>
      <c r="AJ63" s="28" t="s">
        <v>680</v>
      </c>
      <c r="AK63" s="28" t="s">
        <v>680</v>
      </c>
      <c r="AL63" s="28" t="s">
        <v>491</v>
      </c>
      <c r="AM63" s="28"/>
      <c r="AN63" s="28" t="s">
        <v>9</v>
      </c>
      <c r="AO63" s="28"/>
      <c r="AQ63" t="s">
        <v>844</v>
      </c>
      <c r="AR63" t="s">
        <v>2357</v>
      </c>
      <c r="AS63" t="s">
        <v>2240</v>
      </c>
      <c r="AT63" t="s">
        <v>2241</v>
      </c>
      <c r="AU63">
        <v>2014</v>
      </c>
      <c r="AV63" t="s">
        <v>2242</v>
      </c>
      <c r="AW63">
        <v>73767.447</v>
      </c>
    </row>
    <row r="64" spans="1:49" x14ac:dyDescent="0.25">
      <c r="A64" s="5" t="s">
        <v>511</v>
      </c>
      <c r="B64" s="5" t="str">
        <f>INDEX(Regions!B:B,MATCH(A64,Regions!A:A,0))</f>
        <v>Former Soviet Union</v>
      </c>
      <c r="C64" t="s">
        <v>1370</v>
      </c>
      <c r="D64" s="5" t="s">
        <v>1371</v>
      </c>
      <c r="E64" s="5" t="s">
        <v>1372</v>
      </c>
      <c r="F64" s="5">
        <v>643</v>
      </c>
      <c r="G64" s="33">
        <f t="shared" si="0"/>
        <v>1.9829893784912081E-2</v>
      </c>
      <c r="H64" s="5" t="str">
        <f t="shared" si="1"/>
        <v/>
      </c>
      <c r="I64" s="5" t="str">
        <f t="shared" si="2"/>
        <v/>
      </c>
      <c r="J64" s="5" t="str">
        <f t="shared" si="3"/>
        <v/>
      </c>
      <c r="K64" s="5" t="str">
        <f t="shared" si="4"/>
        <v/>
      </c>
      <c r="S64" s="32" t="s">
        <v>2358</v>
      </c>
      <c r="T64" s="32" t="s">
        <v>708</v>
      </c>
      <c r="U64" s="32" t="s">
        <v>491</v>
      </c>
      <c r="W64" t="s">
        <v>1034</v>
      </c>
      <c r="X64" t="s">
        <v>1032</v>
      </c>
      <c r="Y64" t="s">
        <v>500</v>
      </c>
      <c r="AA64" s="15" t="s">
        <v>719</v>
      </c>
      <c r="AB64" s="15" t="s">
        <v>2354</v>
      </c>
      <c r="AC64" s="15" t="s">
        <v>517</v>
      </c>
      <c r="AE64" t="s">
        <v>2244</v>
      </c>
      <c r="AF64" t="s">
        <v>2355</v>
      </c>
      <c r="AG64" t="s">
        <v>486</v>
      </c>
      <c r="AH64" t="s">
        <v>486</v>
      </c>
      <c r="AJ64" s="28" t="s">
        <v>857</v>
      </c>
      <c r="AK64" s="28" t="s">
        <v>857</v>
      </c>
      <c r="AL64" s="28" t="s">
        <v>517</v>
      </c>
      <c r="AM64" s="28" t="s">
        <v>605</v>
      </c>
      <c r="AN64" s="28" t="s">
        <v>9</v>
      </c>
      <c r="AO64" s="28"/>
      <c r="AQ64" t="s">
        <v>687</v>
      </c>
      <c r="AR64" t="s">
        <v>688</v>
      </c>
      <c r="AS64" t="s">
        <v>2240</v>
      </c>
      <c r="AT64" t="s">
        <v>2241</v>
      </c>
      <c r="AU64">
        <v>2014</v>
      </c>
      <c r="AV64" t="s">
        <v>2242</v>
      </c>
      <c r="AW64">
        <v>5664.1959999999999</v>
      </c>
    </row>
    <row r="65" spans="1:49" x14ac:dyDescent="0.25">
      <c r="A65" s="5" t="s">
        <v>511</v>
      </c>
      <c r="B65" s="5" t="str">
        <f>INDEX(Regions!B:B,MATCH(A65,Regions!A:A,0))</f>
        <v>Former Soviet Union</v>
      </c>
      <c r="C65" t="s">
        <v>1512</v>
      </c>
      <c r="D65" s="5" t="s">
        <v>1513</v>
      </c>
      <c r="E65" s="5" t="s">
        <v>1514</v>
      </c>
      <c r="F65" s="5">
        <v>762</v>
      </c>
      <c r="G65" s="33">
        <f t="shared" si="0"/>
        <v>1.1312548417664063E-3</v>
      </c>
      <c r="H65" s="5" t="str">
        <f t="shared" si="1"/>
        <v/>
      </c>
      <c r="I65" s="5" t="str">
        <f t="shared" si="2"/>
        <v/>
      </c>
      <c r="J65" s="5" t="str">
        <f t="shared" si="3"/>
        <v/>
      </c>
      <c r="K65" s="5" t="str">
        <f t="shared" si="4"/>
        <v/>
      </c>
      <c r="S65" s="32" t="s">
        <v>2288</v>
      </c>
      <c r="T65" s="32" t="s">
        <v>913</v>
      </c>
      <c r="U65" s="32" t="s">
        <v>481</v>
      </c>
      <c r="W65" t="s">
        <v>1039</v>
      </c>
      <c r="X65" t="s">
        <v>1037</v>
      </c>
      <c r="Y65" t="s">
        <v>500</v>
      </c>
      <c r="AA65" s="15" t="s">
        <v>732</v>
      </c>
      <c r="AB65" s="15" t="s">
        <v>2354</v>
      </c>
      <c r="AC65" s="15" t="s">
        <v>517</v>
      </c>
      <c r="AE65" t="s">
        <v>539</v>
      </c>
      <c r="AF65" t="s">
        <v>2359</v>
      </c>
      <c r="AG65" t="s">
        <v>2360</v>
      </c>
      <c r="AH65" t="s">
        <v>503</v>
      </c>
      <c r="AJ65" s="28" t="s">
        <v>862</v>
      </c>
      <c r="AK65" s="28" t="s">
        <v>2239</v>
      </c>
      <c r="AL65" s="28" t="s">
        <v>503</v>
      </c>
      <c r="AM65" s="28"/>
      <c r="AN65" s="28" t="s">
        <v>9</v>
      </c>
      <c r="AO65" s="28"/>
      <c r="AQ65" t="s">
        <v>857</v>
      </c>
      <c r="AR65" t="s">
        <v>855</v>
      </c>
      <c r="AS65" t="s">
        <v>2240</v>
      </c>
      <c r="AT65" t="s">
        <v>2241</v>
      </c>
      <c r="AU65">
        <v>2014</v>
      </c>
      <c r="AV65" t="s">
        <v>2242</v>
      </c>
      <c r="AW65">
        <v>898.69500000000005</v>
      </c>
    </row>
    <row r="66" spans="1:49" x14ac:dyDescent="0.25">
      <c r="A66" s="5" t="s">
        <v>511</v>
      </c>
      <c r="B66" s="5" t="str">
        <f>INDEX(Regions!B:B,MATCH(A66,Regions!A:A,0))</f>
        <v>Former Soviet Union</v>
      </c>
      <c r="C66" t="s">
        <v>1567</v>
      </c>
      <c r="D66" s="5" t="s">
        <v>1568</v>
      </c>
      <c r="E66" s="5" t="s">
        <v>1569</v>
      </c>
      <c r="F66" s="5">
        <v>795</v>
      </c>
      <c r="G66" s="33">
        <f t="shared" si="0"/>
        <v>7.4929542578691178E-4</v>
      </c>
      <c r="H66" s="5" t="str">
        <f t="shared" si="1"/>
        <v/>
      </c>
      <c r="I66" s="5" t="str">
        <f t="shared" si="2"/>
        <v/>
      </c>
      <c r="J66" s="5" t="str">
        <f t="shared" si="3"/>
        <v/>
      </c>
      <c r="K66" s="5" t="str">
        <f t="shared" si="4"/>
        <v/>
      </c>
      <c r="S66" s="32" t="e">
        <v>#N/A</v>
      </c>
      <c r="T66" s="32" t="s">
        <v>908</v>
      </c>
      <c r="U66" s="32" t="e">
        <v>#N/A</v>
      </c>
      <c r="W66" t="s">
        <v>1047</v>
      </c>
      <c r="X66" t="s">
        <v>1045</v>
      </c>
      <c r="Y66" t="s">
        <v>500</v>
      </c>
      <c r="AA66" s="15" t="s">
        <v>746</v>
      </c>
      <c r="AB66" s="15" t="s">
        <v>2354</v>
      </c>
      <c r="AC66" s="15" t="s">
        <v>517</v>
      </c>
      <c r="AE66" t="s">
        <v>653</v>
      </c>
      <c r="AF66" t="s">
        <v>2361</v>
      </c>
      <c r="AG66" t="s">
        <v>2360</v>
      </c>
      <c r="AH66" t="s">
        <v>503</v>
      </c>
      <c r="AJ66" s="28" t="s">
        <v>687</v>
      </c>
      <c r="AK66" s="28" t="s">
        <v>687</v>
      </c>
      <c r="AL66" s="28" t="s">
        <v>491</v>
      </c>
      <c r="AM66" s="28"/>
      <c r="AN66" s="28" t="s">
        <v>9</v>
      </c>
      <c r="AO66" s="28"/>
      <c r="AQ66" t="s">
        <v>862</v>
      </c>
      <c r="AR66" t="s">
        <v>860</v>
      </c>
      <c r="AS66" t="s">
        <v>2240</v>
      </c>
      <c r="AT66" t="s">
        <v>2241</v>
      </c>
      <c r="AU66">
        <v>2014</v>
      </c>
      <c r="AV66" t="s">
        <v>2242</v>
      </c>
      <c r="AW66">
        <v>71.084999999999994</v>
      </c>
    </row>
    <row r="67" spans="1:49" x14ac:dyDescent="0.25">
      <c r="A67" s="5" t="s">
        <v>511</v>
      </c>
      <c r="B67" s="5" t="str">
        <f>INDEX(Regions!B:B,MATCH(A67,Regions!A:A,0))</f>
        <v>Former Soviet Union</v>
      </c>
      <c r="C67" t="s">
        <v>1588</v>
      </c>
      <c r="D67" s="5" t="s">
        <v>1589</v>
      </c>
      <c r="E67" s="5" t="s">
        <v>1590</v>
      </c>
      <c r="F67" s="5">
        <v>804</v>
      </c>
      <c r="G67" s="33">
        <f t="shared" si="0"/>
        <v>6.1836509953006654E-3</v>
      </c>
      <c r="H67" s="5" t="str">
        <f t="shared" si="1"/>
        <v/>
      </c>
      <c r="I67" s="5" t="str">
        <f t="shared" si="2"/>
        <v/>
      </c>
      <c r="J67" s="5" t="str">
        <f t="shared" si="3"/>
        <v/>
      </c>
      <c r="K67" s="5" t="str">
        <f t="shared" si="4"/>
        <v/>
      </c>
      <c r="S67" s="32" t="s">
        <v>2362</v>
      </c>
      <c r="T67" s="32" t="s">
        <v>715</v>
      </c>
      <c r="U67" s="32" t="s">
        <v>491</v>
      </c>
      <c r="W67" t="s">
        <v>1067</v>
      </c>
      <c r="X67" t="s">
        <v>1065</v>
      </c>
      <c r="Y67" t="s">
        <v>500</v>
      </c>
      <c r="AA67" s="15" t="s">
        <v>753</v>
      </c>
      <c r="AB67" s="15" t="s">
        <v>2354</v>
      </c>
      <c r="AC67" s="15" t="s">
        <v>517</v>
      </c>
      <c r="AE67" t="s">
        <v>495</v>
      </c>
      <c r="AF67" t="s">
        <v>2363</v>
      </c>
      <c r="AG67" t="s">
        <v>495</v>
      </c>
      <c r="AH67" t="s">
        <v>495</v>
      </c>
      <c r="AJ67" s="28" t="s">
        <v>869</v>
      </c>
      <c r="AK67" s="28" t="s">
        <v>869</v>
      </c>
      <c r="AL67" s="28" t="s">
        <v>503</v>
      </c>
      <c r="AM67" s="28" t="s">
        <v>595</v>
      </c>
      <c r="AN67" s="28" t="s">
        <v>9</v>
      </c>
      <c r="AO67" s="28"/>
      <c r="AQ67" t="s">
        <v>869</v>
      </c>
      <c r="AR67" t="s">
        <v>867</v>
      </c>
      <c r="AS67" t="s">
        <v>2240</v>
      </c>
      <c r="AT67" t="s">
        <v>2241</v>
      </c>
      <c r="AU67">
        <v>2014</v>
      </c>
      <c r="AV67" t="s">
        <v>2242</v>
      </c>
      <c r="AW67">
        <v>10165.183000000001</v>
      </c>
    </row>
    <row r="68" spans="1:49" x14ac:dyDescent="0.25">
      <c r="A68" s="5" t="s">
        <v>511</v>
      </c>
      <c r="B68" s="5" t="str">
        <f>INDEX(Regions!B:B,MATCH(A68,Regions!A:A,0))</f>
        <v>Former Soviet Union</v>
      </c>
      <c r="C68" t="s">
        <v>1619</v>
      </c>
      <c r="D68" s="5" t="s">
        <v>1620</v>
      </c>
      <c r="E68" s="5" t="s">
        <v>1621</v>
      </c>
      <c r="F68" s="5">
        <v>860</v>
      </c>
      <c r="G68" s="33">
        <f t="shared" ref="G68:G131" si="5">INDEX(AW:AW,MATCH(E68,AQ:AQ,0))/INDEX(AW:AW,MATCH("World",AR:AR,0))</f>
        <v>4.1706888704113225E-3</v>
      </c>
      <c r="H68" s="5" t="str">
        <f t="shared" ref="H68:H131" si="6">IF(INDEX(Y:Y,MATCH(E68,W:W,0))=A68,"",INDEX(Y:Y,MATCH(E68,W:W,0)))</f>
        <v/>
      </c>
      <c r="I68" s="5" t="str">
        <f t="shared" ref="I68:I131" si="7">IF(INDEX(AC:AC,MATCH(E68,AA:AA,0))=A68,"",INDEX(AC:AC,MATCH(E68,AA:AA,0)))</f>
        <v/>
      </c>
      <c r="J68" s="5" t="str">
        <f t="shared" ref="J68:J131" si="8">IF(INDEX(U:U,MATCH(E68,T:T,0))=A68,"",INDEX(U:U,MATCH(E68,T:T,0)))</f>
        <v/>
      </c>
      <c r="K68" s="5" t="str">
        <f t="shared" ref="K68:K131" si="9">IF(INDEX(AH:AH,MATCH(E68,AE:AE,0))=A68,"",INDEX(AH:AH,MATCH(E68,AE:AE,0)))</f>
        <v/>
      </c>
      <c r="S68" s="32" t="e">
        <v>#N/A</v>
      </c>
      <c r="T68" s="32" t="s">
        <v>2364</v>
      </c>
      <c r="U68" s="32" t="e">
        <v>#N/A</v>
      </c>
      <c r="W68" t="s">
        <v>1088</v>
      </c>
      <c r="X68" t="s">
        <v>1086</v>
      </c>
      <c r="Y68" t="s">
        <v>500</v>
      </c>
      <c r="AA68" s="15" t="s">
        <v>785</v>
      </c>
      <c r="AB68" s="15" t="s">
        <v>2354</v>
      </c>
      <c r="AC68" s="15" t="s">
        <v>517</v>
      </c>
      <c r="AE68" t="s">
        <v>760</v>
      </c>
      <c r="AF68" t="s">
        <v>2365</v>
      </c>
      <c r="AG68" t="s">
        <v>2360</v>
      </c>
      <c r="AH68" t="s">
        <v>503</v>
      </c>
      <c r="AJ68" s="28" t="s">
        <v>499</v>
      </c>
      <c r="AK68" s="28" t="s">
        <v>499</v>
      </c>
      <c r="AL68" s="28" t="s">
        <v>500</v>
      </c>
      <c r="AM68" s="28" t="s">
        <v>605</v>
      </c>
      <c r="AN68" s="28" t="s">
        <v>9</v>
      </c>
      <c r="AO68" s="28"/>
      <c r="AQ68" t="s">
        <v>874</v>
      </c>
      <c r="AR68" t="s">
        <v>872</v>
      </c>
      <c r="AS68" t="s">
        <v>2240</v>
      </c>
      <c r="AT68" t="s">
        <v>2241</v>
      </c>
      <c r="AU68">
        <v>2014</v>
      </c>
      <c r="AV68" t="s">
        <v>2242</v>
      </c>
      <c r="AW68">
        <v>15951.84</v>
      </c>
    </row>
    <row r="69" spans="1:49" x14ac:dyDescent="0.25">
      <c r="A69" s="5" t="s">
        <v>550</v>
      </c>
      <c r="B69" s="5" t="str">
        <f>INDEX(Regions!B:B,MATCH(A69,Regions!A:A,0))</f>
        <v>India</v>
      </c>
      <c r="C69" t="s">
        <v>551</v>
      </c>
      <c r="D69" s="5" t="s">
        <v>1023</v>
      </c>
      <c r="E69" s="5" t="s">
        <v>550</v>
      </c>
      <c r="F69" s="5">
        <v>356</v>
      </c>
      <c r="G69" s="33">
        <f t="shared" si="5"/>
        <v>0.17759412389918638</v>
      </c>
      <c r="H69" s="5" t="str">
        <f t="shared" si="6"/>
        <v/>
      </c>
      <c r="I69" s="5" t="str">
        <f t="shared" si="7"/>
        <v/>
      </c>
      <c r="J69" s="5" t="str">
        <f t="shared" si="8"/>
        <v/>
      </c>
      <c r="K69" s="5" t="str">
        <f t="shared" si="9"/>
        <v/>
      </c>
      <c r="S69" s="32" t="s">
        <v>2293</v>
      </c>
      <c r="T69" s="32" t="s">
        <v>929</v>
      </c>
      <c r="U69" s="32" t="s">
        <v>517</v>
      </c>
      <c r="W69" t="s">
        <v>1106</v>
      </c>
      <c r="X69" t="s">
        <v>1104</v>
      </c>
      <c r="Y69" t="s">
        <v>500</v>
      </c>
      <c r="AA69" s="15" t="s">
        <v>844</v>
      </c>
      <c r="AB69" s="15" t="s">
        <v>2354</v>
      </c>
      <c r="AC69" s="15" t="s">
        <v>517</v>
      </c>
      <c r="AE69" t="s">
        <v>772</v>
      </c>
      <c r="AF69" t="s">
        <v>2366</v>
      </c>
      <c r="AG69" t="s">
        <v>2360</v>
      </c>
      <c r="AH69" t="s">
        <v>503</v>
      </c>
      <c r="AJ69" s="28" t="s">
        <v>874</v>
      </c>
      <c r="AK69" s="28" t="s">
        <v>874</v>
      </c>
      <c r="AL69" s="28" t="s">
        <v>503</v>
      </c>
      <c r="AM69" s="28" t="s">
        <v>595</v>
      </c>
      <c r="AN69" s="28" t="s">
        <v>9</v>
      </c>
      <c r="AO69" s="28"/>
      <c r="AQ69" t="s">
        <v>879</v>
      </c>
      <c r="AR69" t="s">
        <v>877</v>
      </c>
      <c r="AS69" t="s">
        <v>2240</v>
      </c>
      <c r="AT69" t="s">
        <v>2241</v>
      </c>
      <c r="AU69">
        <v>2014</v>
      </c>
      <c r="AV69" t="s">
        <v>2242</v>
      </c>
      <c r="AW69">
        <v>90424.656000000003</v>
      </c>
    </row>
    <row r="70" spans="1:49" x14ac:dyDescent="0.25">
      <c r="A70" s="5" t="s">
        <v>500</v>
      </c>
      <c r="B70" s="5" t="str">
        <f>INDEX(Regions!B:B,MATCH(A70,Regions!A:A,0))</f>
        <v>Middle-East/North Afr.</v>
      </c>
      <c r="C70" t="s">
        <v>497</v>
      </c>
      <c r="D70" s="5" t="s">
        <v>498</v>
      </c>
      <c r="E70" s="5" t="s">
        <v>499</v>
      </c>
      <c r="F70" s="5">
        <v>12</v>
      </c>
      <c r="G70" s="33">
        <f t="shared" si="5"/>
        <v>5.3354545080973211E-3</v>
      </c>
      <c r="H70" s="5" t="str">
        <f t="shared" si="6"/>
        <v/>
      </c>
      <c r="I70" s="5" t="str">
        <f t="shared" si="7"/>
        <v/>
      </c>
      <c r="J70" s="5" t="str">
        <f t="shared" si="8"/>
        <v/>
      </c>
      <c r="K70" s="5" t="str">
        <f t="shared" si="9"/>
        <v/>
      </c>
      <c r="S70" s="32" t="s">
        <v>2367</v>
      </c>
      <c r="T70" s="32" t="s">
        <v>840</v>
      </c>
      <c r="U70" s="32" t="s">
        <v>491</v>
      </c>
      <c r="W70" t="s">
        <v>1295</v>
      </c>
      <c r="X70" t="s">
        <v>1293</v>
      </c>
      <c r="Y70" t="s">
        <v>500</v>
      </c>
      <c r="AA70" s="15" t="s">
        <v>807</v>
      </c>
      <c r="AB70" s="15" t="s">
        <v>2354</v>
      </c>
      <c r="AC70" s="15" t="s">
        <v>517</v>
      </c>
      <c r="AE70" t="s">
        <v>874</v>
      </c>
      <c r="AF70" t="s">
        <v>2368</v>
      </c>
      <c r="AG70" t="s">
        <v>2360</v>
      </c>
      <c r="AH70" t="s">
        <v>503</v>
      </c>
      <c r="AJ70" s="28" t="s">
        <v>879</v>
      </c>
      <c r="AK70" s="28" t="s">
        <v>879</v>
      </c>
      <c r="AL70" s="28" t="s">
        <v>500</v>
      </c>
      <c r="AM70" s="28" t="s">
        <v>605</v>
      </c>
      <c r="AN70" s="28" t="s">
        <v>9</v>
      </c>
      <c r="AO70" s="28"/>
      <c r="AQ70" t="s">
        <v>885</v>
      </c>
      <c r="AR70" t="s">
        <v>883</v>
      </c>
      <c r="AS70" t="s">
        <v>2240</v>
      </c>
      <c r="AT70" t="s">
        <v>2241</v>
      </c>
      <c r="AU70">
        <v>2014</v>
      </c>
      <c r="AV70" t="s">
        <v>2242</v>
      </c>
      <c r="AW70">
        <v>6295.1279999999997</v>
      </c>
    </row>
    <row r="71" spans="1:49" x14ac:dyDescent="0.25">
      <c r="A71" s="5" t="s">
        <v>500</v>
      </c>
      <c r="B71" s="5" t="str">
        <f>INDEX(Regions!B:B,MATCH(A71,Regions!A:A,0))</f>
        <v>Middle-East/North Afr.</v>
      </c>
      <c r="C71" t="s">
        <v>590</v>
      </c>
      <c r="D71" s="5" t="s">
        <v>591</v>
      </c>
      <c r="E71" s="5" t="s">
        <v>592</v>
      </c>
      <c r="F71" s="5">
        <v>48</v>
      </c>
      <c r="G71" s="33">
        <f t="shared" si="5"/>
        <v>1.8314211770831319E-4</v>
      </c>
      <c r="H71" s="5" t="str">
        <f t="shared" si="6"/>
        <v/>
      </c>
      <c r="I71" s="5" t="str">
        <f t="shared" si="7"/>
        <v/>
      </c>
      <c r="J71" s="5" t="e">
        <f t="shared" si="8"/>
        <v>#N/A</v>
      </c>
      <c r="K71" s="5" t="str">
        <f t="shared" si="9"/>
        <v/>
      </c>
      <c r="S71" s="32" t="s">
        <v>511</v>
      </c>
      <c r="T71" s="32" t="s">
        <v>940</v>
      </c>
      <c r="U71" s="32" t="s">
        <v>511</v>
      </c>
      <c r="W71" t="s">
        <v>1311</v>
      </c>
      <c r="X71" t="s">
        <v>2369</v>
      </c>
      <c r="Y71" t="s">
        <v>500</v>
      </c>
      <c r="AA71" s="15" t="s">
        <v>890</v>
      </c>
      <c r="AB71" s="15" t="s">
        <v>2354</v>
      </c>
      <c r="AC71" s="15" t="s">
        <v>517</v>
      </c>
      <c r="AE71" t="s">
        <v>1327</v>
      </c>
      <c r="AF71" t="s">
        <v>2370</v>
      </c>
      <c r="AG71" t="s">
        <v>2360</v>
      </c>
      <c r="AH71" t="s">
        <v>503</v>
      </c>
      <c r="AJ71" s="28" t="s">
        <v>895</v>
      </c>
      <c r="AK71" s="28" t="s">
        <v>895</v>
      </c>
      <c r="AL71" s="28" t="s">
        <v>517</v>
      </c>
      <c r="AM71" s="28" t="s">
        <v>605</v>
      </c>
      <c r="AN71" s="28" t="s">
        <v>9</v>
      </c>
      <c r="AO71" s="28"/>
      <c r="AQ71" t="s">
        <v>890</v>
      </c>
      <c r="AR71" t="s">
        <v>888</v>
      </c>
      <c r="AS71" t="s">
        <v>2240</v>
      </c>
      <c r="AT71" t="s">
        <v>2241</v>
      </c>
      <c r="AU71">
        <v>2014</v>
      </c>
      <c r="AV71" t="s">
        <v>2242</v>
      </c>
      <c r="AW71">
        <v>1122.277</v>
      </c>
    </row>
    <row r="72" spans="1:49" x14ac:dyDescent="0.25">
      <c r="A72" s="5" t="s">
        <v>500</v>
      </c>
      <c r="B72" s="5" t="str">
        <f>INDEX(Regions!B:B,MATCH(A72,Regions!A:A,0))</f>
        <v>Middle-East/North Afr.</v>
      </c>
      <c r="C72" t="s">
        <v>877</v>
      </c>
      <c r="D72" s="5" t="s">
        <v>878</v>
      </c>
      <c r="E72" s="5" t="s">
        <v>879</v>
      </c>
      <c r="F72" s="5">
        <v>818</v>
      </c>
      <c r="G72" s="33">
        <f t="shared" si="5"/>
        <v>1.2394935159243102E-2</v>
      </c>
      <c r="H72" s="5" t="str">
        <f t="shared" si="6"/>
        <v/>
      </c>
      <c r="I72" s="5" t="str">
        <f t="shared" si="7"/>
        <v/>
      </c>
      <c r="J72" s="5" t="str">
        <f t="shared" si="8"/>
        <v/>
      </c>
      <c r="K72" s="5" t="str">
        <f t="shared" si="9"/>
        <v/>
      </c>
      <c r="S72" s="32" t="s">
        <v>2293</v>
      </c>
      <c r="T72" s="32" t="s">
        <v>949</v>
      </c>
      <c r="U72" s="32" t="s">
        <v>517</v>
      </c>
      <c r="W72" t="s">
        <v>1349</v>
      </c>
      <c r="X72" t="s">
        <v>1347</v>
      </c>
      <c r="Y72" t="s">
        <v>500</v>
      </c>
      <c r="AA72" s="15" t="s">
        <v>929</v>
      </c>
      <c r="AB72" s="15" t="s">
        <v>2354</v>
      </c>
      <c r="AC72" s="15" t="s">
        <v>517</v>
      </c>
      <c r="AE72" t="s">
        <v>1332</v>
      </c>
      <c r="AF72" t="s">
        <v>2371</v>
      </c>
      <c r="AG72" t="s">
        <v>2360</v>
      </c>
      <c r="AH72" t="s">
        <v>503</v>
      </c>
      <c r="AJ72" s="28" t="s">
        <v>1662</v>
      </c>
      <c r="AK72" s="28" t="s">
        <v>2372</v>
      </c>
      <c r="AL72" s="28" t="s">
        <v>500</v>
      </c>
      <c r="AM72" s="28" t="s">
        <v>605</v>
      </c>
      <c r="AN72" s="28" t="s">
        <v>9</v>
      </c>
      <c r="AO72" s="28"/>
      <c r="AQ72" t="s">
        <v>895</v>
      </c>
      <c r="AR72" t="s">
        <v>893</v>
      </c>
      <c r="AS72" t="s">
        <v>2240</v>
      </c>
      <c r="AT72" t="s">
        <v>2241</v>
      </c>
      <c r="AU72">
        <v>2014</v>
      </c>
      <c r="AV72" t="s">
        <v>2242</v>
      </c>
      <c r="AW72">
        <v>3311.4490000000001</v>
      </c>
    </row>
    <row r="73" spans="1:49" x14ac:dyDescent="0.25">
      <c r="A73" s="5" t="s">
        <v>500</v>
      </c>
      <c r="B73" s="5" t="str">
        <f>INDEX(Regions!B:B,MATCH(A73,Regions!A:A,0))</f>
        <v>Middle-East/North Afr.</v>
      </c>
      <c r="C73" t="s">
        <v>1032</v>
      </c>
      <c r="D73" s="5" t="s">
        <v>1033</v>
      </c>
      <c r="E73" s="5" t="s">
        <v>1034</v>
      </c>
      <c r="F73" s="5">
        <v>364</v>
      </c>
      <c r="G73" s="33">
        <f t="shared" si="5"/>
        <v>1.0618599380802063E-2</v>
      </c>
      <c r="H73" s="5" t="str">
        <f t="shared" si="6"/>
        <v/>
      </c>
      <c r="I73" s="5" t="str">
        <f t="shared" si="7"/>
        <v/>
      </c>
      <c r="J73" s="5" t="str">
        <f t="shared" si="8"/>
        <v/>
      </c>
      <c r="K73" s="5" t="str">
        <f t="shared" si="9"/>
        <v/>
      </c>
      <c r="S73" s="32" t="s">
        <v>2246</v>
      </c>
      <c r="T73" s="32" t="s">
        <v>979</v>
      </c>
      <c r="U73" s="32" t="s">
        <v>517</v>
      </c>
      <c r="W73" t="s">
        <v>1415</v>
      </c>
      <c r="X73" t="s">
        <v>2373</v>
      </c>
      <c r="Y73" t="s">
        <v>500</v>
      </c>
      <c r="AA73" s="15" t="s">
        <v>935</v>
      </c>
      <c r="AB73" s="15" t="s">
        <v>2354</v>
      </c>
      <c r="AC73" s="15" t="s">
        <v>517</v>
      </c>
      <c r="AE73" t="s">
        <v>1615</v>
      </c>
      <c r="AF73" t="s">
        <v>2374</v>
      </c>
      <c r="AG73" t="s">
        <v>2360</v>
      </c>
      <c r="AH73" t="s">
        <v>503</v>
      </c>
      <c r="AJ73" s="28" t="s">
        <v>692</v>
      </c>
      <c r="AK73" s="28" t="s">
        <v>2262</v>
      </c>
      <c r="AL73" s="28" t="s">
        <v>491</v>
      </c>
      <c r="AM73" s="28"/>
      <c r="AN73" s="28" t="s">
        <v>9</v>
      </c>
      <c r="AO73" s="28"/>
      <c r="AQ73" t="s">
        <v>701</v>
      </c>
      <c r="AR73" t="s">
        <v>702</v>
      </c>
      <c r="AS73" t="s">
        <v>2240</v>
      </c>
      <c r="AT73" t="s">
        <v>2241</v>
      </c>
      <c r="AU73">
        <v>2014</v>
      </c>
      <c r="AV73" t="s">
        <v>2242</v>
      </c>
      <c r="AW73">
        <v>1316.277</v>
      </c>
    </row>
    <row r="74" spans="1:49" x14ac:dyDescent="0.25">
      <c r="A74" s="5" t="s">
        <v>500</v>
      </c>
      <c r="B74" s="5" t="str">
        <f>INDEX(Regions!B:B,MATCH(A74,Regions!A:A,0))</f>
        <v>Middle-East/North Afr.</v>
      </c>
      <c r="C74" t="s">
        <v>1037</v>
      </c>
      <c r="D74" s="5" t="s">
        <v>1038</v>
      </c>
      <c r="E74" s="5" t="s">
        <v>1039</v>
      </c>
      <c r="F74" s="5">
        <v>368</v>
      </c>
      <c r="G74" s="33">
        <f t="shared" si="5"/>
        <v>4.717008836041918E-3</v>
      </c>
      <c r="H74" s="5" t="str">
        <f t="shared" si="6"/>
        <v/>
      </c>
      <c r="I74" s="5" t="str">
        <f t="shared" si="7"/>
        <v/>
      </c>
      <c r="J74" s="5" t="str">
        <f t="shared" si="8"/>
        <v/>
      </c>
      <c r="K74" s="5" t="str">
        <f t="shared" si="9"/>
        <v/>
      </c>
      <c r="S74" s="32" t="e">
        <v>#N/A</v>
      </c>
      <c r="T74" s="32" t="s">
        <v>969</v>
      </c>
      <c r="U74" s="32" t="e">
        <v>#N/A</v>
      </c>
      <c r="W74" t="s">
        <v>1509</v>
      </c>
      <c r="X74" t="s">
        <v>2375</v>
      </c>
      <c r="Y74" t="s">
        <v>500</v>
      </c>
      <c r="AA74" s="15" t="s">
        <v>949</v>
      </c>
      <c r="AB74" s="15" t="s">
        <v>2354</v>
      </c>
      <c r="AC74" s="15" t="s">
        <v>517</v>
      </c>
      <c r="AE74" t="s">
        <v>1632</v>
      </c>
      <c r="AF74" t="s">
        <v>2376</v>
      </c>
      <c r="AG74" t="s">
        <v>2360</v>
      </c>
      <c r="AH74" t="s">
        <v>503</v>
      </c>
      <c r="AJ74" s="28" t="s">
        <v>701</v>
      </c>
      <c r="AK74" s="28" t="s">
        <v>2377</v>
      </c>
      <c r="AL74" s="28" t="s">
        <v>491</v>
      </c>
      <c r="AM74" s="28"/>
      <c r="AN74" s="28" t="s">
        <v>9</v>
      </c>
      <c r="AO74" s="28"/>
      <c r="AQ74" t="s">
        <v>1495</v>
      </c>
      <c r="AR74" t="s">
        <v>2378</v>
      </c>
      <c r="AS74" t="s">
        <v>2240</v>
      </c>
      <c r="AT74" t="s">
        <v>2241</v>
      </c>
      <c r="AU74">
        <v>2014</v>
      </c>
      <c r="AV74" t="s">
        <v>2242</v>
      </c>
      <c r="AW74">
        <v>1095.019</v>
      </c>
    </row>
    <row r="75" spans="1:49" x14ac:dyDescent="0.25">
      <c r="A75" s="5" t="s">
        <v>500</v>
      </c>
      <c r="B75" s="5" t="str">
        <f>INDEX(Regions!B:B,MATCH(A75,Regions!A:A,0))</f>
        <v>Middle-East/North Afr.</v>
      </c>
      <c r="C75" t="s">
        <v>1045</v>
      </c>
      <c r="D75" s="5" t="s">
        <v>1046</v>
      </c>
      <c r="E75" s="5" t="s">
        <v>1047</v>
      </c>
      <c r="F75" s="5">
        <v>376</v>
      </c>
      <c r="G75" s="33">
        <f t="shared" si="5"/>
        <v>1.0766141135431495E-3</v>
      </c>
      <c r="H75" s="5" t="str">
        <f t="shared" si="6"/>
        <v/>
      </c>
      <c r="I75" s="5" t="str">
        <f t="shared" si="7"/>
        <v/>
      </c>
      <c r="J75" s="5" t="str">
        <f t="shared" si="8"/>
        <v/>
      </c>
      <c r="K75" s="5" t="str">
        <f t="shared" si="9"/>
        <v/>
      </c>
      <c r="S75" s="32" t="s">
        <v>2246</v>
      </c>
      <c r="T75" s="32" t="s">
        <v>935</v>
      </c>
      <c r="U75" s="32" t="s">
        <v>517</v>
      </c>
      <c r="W75" t="s">
        <v>1596</v>
      </c>
      <c r="X75" t="s">
        <v>2379</v>
      </c>
      <c r="Y75" t="s">
        <v>500</v>
      </c>
      <c r="AA75" s="15" t="s">
        <v>979</v>
      </c>
      <c r="AB75" s="15" t="s">
        <v>2354</v>
      </c>
      <c r="AC75" s="15" t="s">
        <v>517</v>
      </c>
      <c r="AE75" t="s">
        <v>908</v>
      </c>
      <c r="AF75" t="s">
        <v>2380</v>
      </c>
      <c r="AG75" t="s">
        <v>2360</v>
      </c>
      <c r="AH75" t="s">
        <v>503</v>
      </c>
      <c r="AJ75" s="28" t="s">
        <v>903</v>
      </c>
      <c r="AK75" s="28" t="s">
        <v>903</v>
      </c>
      <c r="AL75" s="28" t="s">
        <v>517</v>
      </c>
      <c r="AM75" s="28" t="s">
        <v>605</v>
      </c>
      <c r="AN75" s="28" t="s">
        <v>9</v>
      </c>
      <c r="AO75" s="28"/>
      <c r="AQ75" t="s">
        <v>903</v>
      </c>
      <c r="AR75" t="s">
        <v>901</v>
      </c>
      <c r="AS75" t="s">
        <v>2240</v>
      </c>
      <c r="AT75" t="s">
        <v>2241</v>
      </c>
      <c r="AU75">
        <v>2014</v>
      </c>
      <c r="AV75" t="s">
        <v>2242</v>
      </c>
      <c r="AW75">
        <v>98094.264999999999</v>
      </c>
    </row>
    <row r="76" spans="1:49" x14ac:dyDescent="0.25">
      <c r="A76" s="5" t="s">
        <v>500</v>
      </c>
      <c r="B76" s="5" t="str">
        <f>INDEX(Regions!B:B,MATCH(A76,Regions!A:A,0))</f>
        <v>Middle-East/North Afr.</v>
      </c>
      <c r="C76" t="s">
        <v>1065</v>
      </c>
      <c r="D76" s="5" t="s">
        <v>1066</v>
      </c>
      <c r="E76" s="5" t="s">
        <v>1067</v>
      </c>
      <c r="F76" s="5">
        <v>400</v>
      </c>
      <c r="G76" s="33">
        <f t="shared" si="5"/>
        <v>1.222545925487865E-3</v>
      </c>
      <c r="H76" s="5" t="str">
        <f t="shared" si="6"/>
        <v/>
      </c>
      <c r="I76" s="5" t="str">
        <f t="shared" si="7"/>
        <v/>
      </c>
      <c r="J76" s="5" t="str">
        <f t="shared" si="8"/>
        <v/>
      </c>
      <c r="K76" s="5" t="str">
        <f t="shared" si="9"/>
        <v/>
      </c>
      <c r="S76" s="32" t="s">
        <v>2246</v>
      </c>
      <c r="T76" s="32" t="s">
        <v>984</v>
      </c>
      <c r="U76" s="32" t="s">
        <v>517</v>
      </c>
      <c r="W76" t="s">
        <v>1642</v>
      </c>
      <c r="X76" t="s">
        <v>1640</v>
      </c>
      <c r="Y76" t="s">
        <v>500</v>
      </c>
      <c r="AA76" s="15" t="s">
        <v>984</v>
      </c>
      <c r="AB76" s="15" t="s">
        <v>2354</v>
      </c>
      <c r="AC76" s="15" t="s">
        <v>517</v>
      </c>
      <c r="AE76" t="s">
        <v>1657</v>
      </c>
      <c r="AF76" t="s">
        <v>2380</v>
      </c>
      <c r="AG76" t="s">
        <v>2360</v>
      </c>
      <c r="AH76" t="s">
        <v>503</v>
      </c>
      <c r="AJ76" s="28" t="s">
        <v>708</v>
      </c>
      <c r="AK76" s="28" t="s">
        <v>2256</v>
      </c>
      <c r="AL76" s="28" t="s">
        <v>491</v>
      </c>
      <c r="AM76" s="28"/>
      <c r="AN76" s="28" t="s">
        <v>9</v>
      </c>
      <c r="AO76" s="28"/>
      <c r="AQ76" t="s">
        <v>908</v>
      </c>
      <c r="AR76" t="s">
        <v>2381</v>
      </c>
      <c r="AS76" t="s">
        <v>2240</v>
      </c>
      <c r="AT76" t="s">
        <v>2241</v>
      </c>
      <c r="AU76">
        <v>2014</v>
      </c>
      <c r="AV76" t="s">
        <v>2242</v>
      </c>
      <c r="AW76">
        <v>2.7919999999999998</v>
      </c>
    </row>
    <row r="77" spans="1:49" x14ac:dyDescent="0.25">
      <c r="A77" s="5" t="s">
        <v>500</v>
      </c>
      <c r="B77" s="5" t="str">
        <f>INDEX(Regions!B:B,MATCH(A77,Regions!A:A,0))</f>
        <v>Middle-East/North Afr.</v>
      </c>
      <c r="C77" t="s">
        <v>1086</v>
      </c>
      <c r="D77" s="5" t="s">
        <v>1087</v>
      </c>
      <c r="E77" s="5" t="s">
        <v>1088</v>
      </c>
      <c r="F77" s="5">
        <v>414</v>
      </c>
      <c r="G77" s="33">
        <f t="shared" si="5"/>
        <v>5.0593473500846814E-4</v>
      </c>
      <c r="H77" s="5" t="str">
        <f t="shared" si="6"/>
        <v/>
      </c>
      <c r="I77" s="5" t="str">
        <f t="shared" si="7"/>
        <v/>
      </c>
      <c r="J77" s="5" t="str">
        <f t="shared" si="8"/>
        <v/>
      </c>
      <c r="K77" s="5" t="str">
        <f t="shared" si="9"/>
        <v/>
      </c>
      <c r="S77" s="32" t="e">
        <v>#N/A</v>
      </c>
      <c r="T77" s="32" t="s">
        <v>890</v>
      </c>
      <c r="U77" s="32" t="e">
        <v>#N/A</v>
      </c>
      <c r="W77" t="s">
        <v>1266</v>
      </c>
      <c r="X77" t="s">
        <v>2382</v>
      </c>
      <c r="Y77" t="s">
        <v>563</v>
      </c>
      <c r="AA77" s="15" t="s">
        <v>1117</v>
      </c>
      <c r="AB77" s="15" t="s">
        <v>2354</v>
      </c>
      <c r="AC77" s="15" t="s">
        <v>517</v>
      </c>
      <c r="AE77" t="s">
        <v>2335</v>
      </c>
      <c r="AF77" t="s">
        <v>2380</v>
      </c>
      <c r="AG77" t="s">
        <v>2360</v>
      </c>
      <c r="AH77" t="s">
        <v>503</v>
      </c>
      <c r="AJ77" s="28" t="s">
        <v>913</v>
      </c>
      <c r="AK77" s="28" t="s">
        <v>913</v>
      </c>
      <c r="AL77" s="28" t="s">
        <v>481</v>
      </c>
      <c r="AM77" s="28"/>
      <c r="AN77" s="28" t="s">
        <v>9</v>
      </c>
      <c r="AO77" s="28"/>
      <c r="AQ77" t="s">
        <v>2364</v>
      </c>
      <c r="AR77" t="s">
        <v>2383</v>
      </c>
      <c r="AS77" t="s">
        <v>2240</v>
      </c>
      <c r="AT77" t="s">
        <v>2241</v>
      </c>
      <c r="AU77">
        <v>2014</v>
      </c>
      <c r="AV77" t="s">
        <v>2242</v>
      </c>
      <c r="AW77">
        <v>47.96</v>
      </c>
    </row>
    <row r="78" spans="1:49" x14ac:dyDescent="0.25">
      <c r="A78" s="5" t="s">
        <v>500</v>
      </c>
      <c r="B78" s="5" t="str">
        <f>INDEX(Regions!B:B,MATCH(A78,Regions!A:A,0))</f>
        <v>Middle-East/North Afr.</v>
      </c>
      <c r="C78" t="s">
        <v>1104</v>
      </c>
      <c r="D78" s="5" t="s">
        <v>1105</v>
      </c>
      <c r="E78" s="5" t="s">
        <v>1106</v>
      </c>
      <c r="F78" s="5">
        <v>422</v>
      </c>
      <c r="G78" s="33">
        <f t="shared" si="5"/>
        <v>8.5823090561901682E-4</v>
      </c>
      <c r="H78" s="5" t="str">
        <f t="shared" si="6"/>
        <v/>
      </c>
      <c r="I78" s="5" t="str">
        <f t="shared" si="7"/>
        <v/>
      </c>
      <c r="J78" s="5" t="str">
        <f t="shared" si="8"/>
        <v/>
      </c>
      <c r="K78" s="5" t="str">
        <f t="shared" si="9"/>
        <v/>
      </c>
      <c r="S78" s="32" t="s">
        <v>2384</v>
      </c>
      <c r="T78" s="32" t="s">
        <v>722</v>
      </c>
      <c r="U78" s="32" t="s">
        <v>491</v>
      </c>
      <c r="W78" t="s">
        <v>499</v>
      </c>
      <c r="X78" t="s">
        <v>497</v>
      </c>
      <c r="Y78" t="s">
        <v>500</v>
      </c>
      <c r="AA78" s="15" t="s">
        <v>1166</v>
      </c>
      <c r="AB78" s="15" t="s">
        <v>2354</v>
      </c>
      <c r="AC78" s="15" t="s">
        <v>517</v>
      </c>
      <c r="AE78" t="s">
        <v>1488</v>
      </c>
      <c r="AF78" t="s">
        <v>2380</v>
      </c>
      <c r="AG78" t="s">
        <v>2360</v>
      </c>
      <c r="AH78" t="s">
        <v>503</v>
      </c>
      <c r="AJ78" s="28" t="s">
        <v>908</v>
      </c>
      <c r="AK78" s="28" t="s">
        <v>2299</v>
      </c>
      <c r="AL78" s="28" t="s">
        <v>517</v>
      </c>
      <c r="AM78" s="28"/>
      <c r="AN78" s="28" t="s">
        <v>9</v>
      </c>
      <c r="AO78" s="28" t="s">
        <v>2300</v>
      </c>
      <c r="AQ78" t="s">
        <v>913</v>
      </c>
      <c r="AR78" t="s">
        <v>911</v>
      </c>
      <c r="AS78" t="s">
        <v>2240</v>
      </c>
      <c r="AT78" t="s">
        <v>2241</v>
      </c>
      <c r="AU78">
        <v>2014</v>
      </c>
      <c r="AV78" t="s">
        <v>2242</v>
      </c>
      <c r="AW78">
        <v>866.45299999999997</v>
      </c>
    </row>
    <row r="79" spans="1:49" x14ac:dyDescent="0.25">
      <c r="A79" s="5" t="s">
        <v>500</v>
      </c>
      <c r="B79" s="5" t="str">
        <f>INDEX(Regions!B:B,MATCH(A79,Regions!A:A,0))</f>
        <v>Middle-East/North Afr.</v>
      </c>
      <c r="C79" t="s">
        <v>1120</v>
      </c>
      <c r="D79" s="5" t="s">
        <v>1121</v>
      </c>
      <c r="E79" s="5" t="s">
        <v>1122</v>
      </c>
      <c r="F79" s="5">
        <v>434</v>
      </c>
      <c r="G79" s="33">
        <f t="shared" si="5"/>
        <v>8.7207449366139152E-4</v>
      </c>
      <c r="H79" s="5" t="str">
        <f t="shared" si="6"/>
        <v/>
      </c>
      <c r="I79" s="5" t="str">
        <f t="shared" si="7"/>
        <v/>
      </c>
      <c r="J79" s="5" t="e">
        <f t="shared" si="8"/>
        <v>#N/A</v>
      </c>
      <c r="K79" s="5" t="str">
        <f t="shared" si="9"/>
        <v/>
      </c>
      <c r="S79" s="32" t="s">
        <v>2264</v>
      </c>
      <c r="T79" s="32" t="s">
        <v>963</v>
      </c>
      <c r="U79" s="32" t="s">
        <v>503</v>
      </c>
      <c r="W79" t="s">
        <v>879</v>
      </c>
      <c r="X79" t="s">
        <v>877</v>
      </c>
      <c r="Y79" t="s">
        <v>500</v>
      </c>
      <c r="AA79" s="15" t="s">
        <v>1180</v>
      </c>
      <c r="AB79" s="15" t="s">
        <v>2354</v>
      </c>
      <c r="AC79" s="15" t="s">
        <v>517</v>
      </c>
      <c r="AE79" t="s">
        <v>799</v>
      </c>
      <c r="AF79" t="s">
        <v>2385</v>
      </c>
      <c r="AG79" t="s">
        <v>2386</v>
      </c>
      <c r="AH79" t="s">
        <v>503</v>
      </c>
      <c r="AJ79" s="28" t="s">
        <v>715</v>
      </c>
      <c r="AK79" s="28" t="s">
        <v>2387</v>
      </c>
      <c r="AL79" s="28" t="s">
        <v>491</v>
      </c>
      <c r="AM79" s="28"/>
      <c r="AN79" s="28" t="s">
        <v>9</v>
      </c>
      <c r="AO79" s="28"/>
      <c r="AQ79" t="s">
        <v>708</v>
      </c>
      <c r="AR79" t="s">
        <v>709</v>
      </c>
      <c r="AS79" t="s">
        <v>2240</v>
      </c>
      <c r="AT79" t="s">
        <v>2241</v>
      </c>
      <c r="AU79">
        <v>2014</v>
      </c>
      <c r="AV79" t="s">
        <v>2242</v>
      </c>
      <c r="AW79">
        <v>5461.4110000000001</v>
      </c>
    </row>
    <row r="80" spans="1:49" x14ac:dyDescent="0.25">
      <c r="A80" s="5" t="s">
        <v>500</v>
      </c>
      <c r="B80" s="5" t="str">
        <f>INDEX(Regions!B:B,MATCH(A80,Regions!A:A,0))</f>
        <v>Middle-East/North Afr.</v>
      </c>
      <c r="C80" t="s">
        <v>1220</v>
      </c>
      <c r="D80" s="5" t="s">
        <v>1221</v>
      </c>
      <c r="E80" s="5" t="s">
        <v>1222</v>
      </c>
      <c r="F80" s="5">
        <v>504</v>
      </c>
      <c r="G80" s="33">
        <f t="shared" si="5"/>
        <v>4.686908048140012E-3</v>
      </c>
      <c r="H80" s="5" t="str">
        <f t="shared" si="6"/>
        <v/>
      </c>
      <c r="I80" s="5" t="str">
        <f t="shared" si="7"/>
        <v/>
      </c>
      <c r="J80" s="5" t="str">
        <f t="shared" si="8"/>
        <v/>
      </c>
      <c r="K80" s="5" t="str">
        <f t="shared" si="9"/>
        <v/>
      </c>
      <c r="S80" s="32" t="s">
        <v>2285</v>
      </c>
      <c r="T80" s="32" t="s">
        <v>974</v>
      </c>
      <c r="U80" s="32" t="s">
        <v>503</v>
      </c>
      <c r="W80" t="s">
        <v>1122</v>
      </c>
      <c r="X80" t="s">
        <v>2388</v>
      </c>
      <c r="Y80" t="s">
        <v>500</v>
      </c>
      <c r="AA80" s="15" t="s">
        <v>1276</v>
      </c>
      <c r="AB80" s="15" t="s">
        <v>2354</v>
      </c>
      <c r="AC80" s="15" t="s">
        <v>517</v>
      </c>
      <c r="AE80" t="s">
        <v>974</v>
      </c>
      <c r="AF80" t="s">
        <v>2389</v>
      </c>
      <c r="AG80" t="s">
        <v>2386</v>
      </c>
      <c r="AH80" t="s">
        <v>503</v>
      </c>
      <c r="AJ80" s="28" t="s">
        <v>2364</v>
      </c>
      <c r="AK80" s="28" t="s">
        <v>2299</v>
      </c>
      <c r="AL80" s="28" t="s">
        <v>517</v>
      </c>
      <c r="AM80" s="28"/>
      <c r="AN80" s="28" t="s">
        <v>9</v>
      </c>
      <c r="AO80" s="28" t="s">
        <v>2383</v>
      </c>
      <c r="AQ80" t="s">
        <v>715</v>
      </c>
      <c r="AR80" t="s">
        <v>716</v>
      </c>
      <c r="AS80" t="s">
        <v>2240</v>
      </c>
      <c r="AT80" t="s">
        <v>2241</v>
      </c>
      <c r="AU80">
        <v>2014</v>
      </c>
      <c r="AV80" t="s">
        <v>2242</v>
      </c>
      <c r="AW80">
        <v>64193.55</v>
      </c>
    </row>
    <row r="81" spans="1:49" x14ac:dyDescent="0.25">
      <c r="A81" s="5" t="s">
        <v>500</v>
      </c>
      <c r="B81" s="5" t="str">
        <f>INDEX(Regions!B:B,MATCH(A81,Regions!A:A,0))</f>
        <v>Middle-East/North Afr.</v>
      </c>
      <c r="C81" t="s">
        <v>1293</v>
      </c>
      <c r="D81" s="5" t="s">
        <v>1294</v>
      </c>
      <c r="E81" s="5" t="s">
        <v>1295</v>
      </c>
      <c r="F81" s="5">
        <v>512</v>
      </c>
      <c r="G81" s="33">
        <f t="shared" si="5"/>
        <v>5.5203557057948197E-4</v>
      </c>
      <c r="H81" s="5" t="str">
        <f t="shared" si="6"/>
        <v/>
      </c>
      <c r="I81" s="5" t="str">
        <f t="shared" si="7"/>
        <v/>
      </c>
      <c r="J81" s="5" t="str">
        <f t="shared" si="8"/>
        <v/>
      </c>
      <c r="K81" s="5" t="str">
        <f t="shared" si="9"/>
        <v/>
      </c>
      <c r="S81" s="32" t="e">
        <v>#N/A</v>
      </c>
      <c r="T81" s="32" t="s">
        <v>1657</v>
      </c>
      <c r="U81" s="32" t="e">
        <v>#N/A</v>
      </c>
      <c r="W81" t="s">
        <v>1222</v>
      </c>
      <c r="X81" t="s">
        <v>1220</v>
      </c>
      <c r="Y81" t="s">
        <v>500</v>
      </c>
      <c r="AA81" s="15" t="s">
        <v>1282</v>
      </c>
      <c r="AB81" s="15" t="s">
        <v>2354</v>
      </c>
      <c r="AC81" s="15" t="s">
        <v>517</v>
      </c>
      <c r="AE81" t="s">
        <v>1271</v>
      </c>
      <c r="AF81" t="s">
        <v>2390</v>
      </c>
      <c r="AG81" t="s">
        <v>2386</v>
      </c>
      <c r="AH81" t="s">
        <v>503</v>
      </c>
      <c r="AJ81" s="28" t="s">
        <v>1197</v>
      </c>
      <c r="AK81" s="28" t="s">
        <v>2270</v>
      </c>
      <c r="AL81" s="28" t="s">
        <v>481</v>
      </c>
      <c r="AM81" s="28"/>
      <c r="AN81" s="28" t="s">
        <v>9</v>
      </c>
      <c r="AO81" s="28"/>
      <c r="AQ81" t="s">
        <v>1657</v>
      </c>
      <c r="AR81" t="s">
        <v>2391</v>
      </c>
      <c r="AS81" t="s">
        <v>2240</v>
      </c>
      <c r="AT81" t="s">
        <v>2241</v>
      </c>
      <c r="AU81">
        <v>2014</v>
      </c>
      <c r="AV81" t="s">
        <v>2242</v>
      </c>
      <c r="AW81">
        <v>254.773</v>
      </c>
    </row>
    <row r="82" spans="1:49" x14ac:dyDescent="0.25">
      <c r="A82" s="5" t="s">
        <v>500</v>
      </c>
      <c r="B82" s="5" t="str">
        <f>INDEX(Regions!B:B,MATCH(A82,Regions!A:A,0))</f>
        <v>Middle-East/North Afr.</v>
      </c>
      <c r="C82" t="s">
        <v>1309</v>
      </c>
      <c r="D82" s="5" t="s">
        <v>1310</v>
      </c>
      <c r="E82" s="5" t="s">
        <v>1311</v>
      </c>
      <c r="F82" s="5">
        <v>275</v>
      </c>
      <c r="G82" s="33">
        <f t="shared" si="5"/>
        <v>6.0705448797831432E-4</v>
      </c>
      <c r="H82" s="5" t="str">
        <f t="shared" si="6"/>
        <v/>
      </c>
      <c r="I82" s="5" t="e">
        <f t="shared" si="7"/>
        <v>#N/A</v>
      </c>
      <c r="J82" s="5" t="e">
        <f t="shared" si="8"/>
        <v>#N/A</v>
      </c>
      <c r="K82" s="5" t="str">
        <f t="shared" si="9"/>
        <v/>
      </c>
      <c r="S82" s="32" t="e">
        <v>#N/A</v>
      </c>
      <c r="T82" s="32" t="s">
        <v>2269</v>
      </c>
      <c r="U82" s="32" t="e">
        <v>#N/A</v>
      </c>
      <c r="W82" t="s">
        <v>1558</v>
      </c>
      <c r="X82" t="s">
        <v>1556</v>
      </c>
      <c r="Y82" t="s">
        <v>500</v>
      </c>
      <c r="AA82" s="15" t="s">
        <v>2392</v>
      </c>
      <c r="AB82" s="15" t="s">
        <v>2354</v>
      </c>
      <c r="AC82" s="15" t="s">
        <v>517</v>
      </c>
      <c r="AE82" t="s">
        <v>1316</v>
      </c>
      <c r="AF82" t="s">
        <v>2393</v>
      </c>
      <c r="AG82" t="s">
        <v>2386</v>
      </c>
      <c r="AH82" t="s">
        <v>503</v>
      </c>
      <c r="AJ82" s="28" t="s">
        <v>929</v>
      </c>
      <c r="AK82" s="28" t="s">
        <v>929</v>
      </c>
      <c r="AL82" s="28" t="s">
        <v>517</v>
      </c>
      <c r="AM82" s="28" t="s">
        <v>605</v>
      </c>
      <c r="AN82" s="28" t="s">
        <v>9</v>
      </c>
      <c r="AO82" s="28"/>
      <c r="AQ82" t="s">
        <v>924</v>
      </c>
      <c r="AR82" t="s">
        <v>922</v>
      </c>
      <c r="AS82" t="s">
        <v>2240</v>
      </c>
      <c r="AT82" t="s">
        <v>2241</v>
      </c>
      <c r="AU82">
        <v>2014</v>
      </c>
      <c r="AV82" t="s">
        <v>2242</v>
      </c>
      <c r="AW82">
        <v>271.70499999999998</v>
      </c>
    </row>
    <row r="83" spans="1:49" x14ac:dyDescent="0.25">
      <c r="A83" s="5" t="s">
        <v>500</v>
      </c>
      <c r="B83" s="5" t="str">
        <f>INDEX(Regions!B:B,MATCH(A83,Regions!A:A,0))</f>
        <v>Middle-East/North Afr.</v>
      </c>
      <c r="C83" t="s">
        <v>1347</v>
      </c>
      <c r="D83" s="5" t="s">
        <v>1348</v>
      </c>
      <c r="E83" s="5" t="s">
        <v>1349</v>
      </c>
      <c r="F83" s="5">
        <v>634</v>
      </c>
      <c r="G83" s="33">
        <f t="shared" si="5"/>
        <v>3.3709389786056048E-4</v>
      </c>
      <c r="H83" s="5" t="str">
        <f t="shared" si="6"/>
        <v/>
      </c>
      <c r="I83" s="5" t="str">
        <f t="shared" si="7"/>
        <v/>
      </c>
      <c r="J83" s="5" t="e">
        <f t="shared" si="8"/>
        <v>#N/A</v>
      </c>
      <c r="K83" s="5" t="str">
        <f t="shared" si="9"/>
        <v/>
      </c>
      <c r="S83" s="32" t="s">
        <v>2264</v>
      </c>
      <c r="T83" s="32" t="s">
        <v>990</v>
      </c>
      <c r="U83" s="32" t="s">
        <v>503</v>
      </c>
      <c r="W83" t="s">
        <v>1662</v>
      </c>
      <c r="X83" t="s">
        <v>2394</v>
      </c>
      <c r="Y83" t="s">
        <v>500</v>
      </c>
      <c r="AA83" s="15" t="s">
        <v>1409</v>
      </c>
      <c r="AB83" s="15" t="s">
        <v>2354</v>
      </c>
      <c r="AC83" s="15" t="s">
        <v>517</v>
      </c>
      <c r="AE83" t="s">
        <v>630</v>
      </c>
      <c r="AF83" t="s">
        <v>2395</v>
      </c>
      <c r="AG83" t="s">
        <v>2386</v>
      </c>
      <c r="AH83" t="s">
        <v>503</v>
      </c>
      <c r="AJ83" s="28" t="s">
        <v>840</v>
      </c>
      <c r="AK83" s="28" t="s">
        <v>2396</v>
      </c>
      <c r="AL83" s="28" t="s">
        <v>491</v>
      </c>
      <c r="AM83" s="28"/>
      <c r="AN83" s="28" t="s">
        <v>9</v>
      </c>
      <c r="AO83" s="28"/>
      <c r="AQ83" t="s">
        <v>929</v>
      </c>
      <c r="AR83" t="s">
        <v>927</v>
      </c>
      <c r="AS83" t="s">
        <v>2240</v>
      </c>
      <c r="AT83" t="s">
        <v>2241</v>
      </c>
      <c r="AU83">
        <v>2014</v>
      </c>
      <c r="AV83" t="s">
        <v>2242</v>
      </c>
      <c r="AW83">
        <v>1883.8</v>
      </c>
    </row>
    <row r="84" spans="1:49" x14ac:dyDescent="0.25">
      <c r="A84" s="5" t="s">
        <v>500</v>
      </c>
      <c r="B84" s="5" t="str">
        <f>INDEX(Regions!B:B,MATCH(A84,Regions!A:A,0))</f>
        <v>Middle-East/North Afr.</v>
      </c>
      <c r="C84" t="s">
        <v>1413</v>
      </c>
      <c r="D84" s="5" t="s">
        <v>1414</v>
      </c>
      <c r="E84" s="5" t="s">
        <v>1415</v>
      </c>
      <c r="F84" s="5">
        <v>682</v>
      </c>
      <c r="G84" s="33">
        <f t="shared" si="5"/>
        <v>4.2378841359313529E-3</v>
      </c>
      <c r="H84" s="5" t="str">
        <f t="shared" si="6"/>
        <v/>
      </c>
      <c r="I84" s="5" t="str">
        <f t="shared" si="7"/>
        <v/>
      </c>
      <c r="J84" s="5" t="str">
        <f t="shared" si="8"/>
        <v/>
      </c>
      <c r="K84" s="5" t="str">
        <f t="shared" si="9"/>
        <v/>
      </c>
      <c r="S84" s="32" t="s">
        <v>2285</v>
      </c>
      <c r="T84" s="32" t="s">
        <v>1005</v>
      </c>
      <c r="U84" s="32" t="s">
        <v>503</v>
      </c>
      <c r="W84" t="s">
        <v>913</v>
      </c>
      <c r="X84" t="s">
        <v>2397</v>
      </c>
      <c r="Y84" t="s">
        <v>481</v>
      </c>
      <c r="AA84" s="15" t="s">
        <v>1420</v>
      </c>
      <c r="AB84" s="15" t="s">
        <v>2354</v>
      </c>
      <c r="AC84" s="15" t="s">
        <v>517</v>
      </c>
      <c r="AE84" t="s">
        <v>885</v>
      </c>
      <c r="AF84" t="s">
        <v>2398</v>
      </c>
      <c r="AG84" t="s">
        <v>2386</v>
      </c>
      <c r="AH84" t="s">
        <v>503</v>
      </c>
      <c r="AJ84" s="28" t="s">
        <v>940</v>
      </c>
      <c r="AK84" s="28" t="s">
        <v>940</v>
      </c>
      <c r="AL84" s="28" t="s">
        <v>511</v>
      </c>
      <c r="AM84" s="28"/>
      <c r="AN84" s="28" t="s">
        <v>9</v>
      </c>
      <c r="AO84" s="28"/>
      <c r="AQ84" t="s">
        <v>935</v>
      </c>
      <c r="AR84" t="s">
        <v>933</v>
      </c>
      <c r="AS84" t="s">
        <v>2240</v>
      </c>
      <c r="AT84" t="s">
        <v>2241</v>
      </c>
      <c r="AU84">
        <v>2014</v>
      </c>
      <c r="AV84" t="s">
        <v>2242</v>
      </c>
      <c r="AW84">
        <v>2024.0419999999999</v>
      </c>
    </row>
    <row r="85" spans="1:49" x14ac:dyDescent="0.25">
      <c r="A85" s="5" t="s">
        <v>500</v>
      </c>
      <c r="B85" s="5" t="str">
        <f>INDEX(Regions!B:B,MATCH(A85,Regions!A:A,0))</f>
        <v>Middle-East/North Afr.</v>
      </c>
      <c r="C85" t="s">
        <v>1507</v>
      </c>
      <c r="D85" s="5" t="s">
        <v>1508</v>
      </c>
      <c r="E85" s="5" t="s">
        <v>1509</v>
      </c>
      <c r="F85" s="5">
        <v>760</v>
      </c>
      <c r="G85" s="33">
        <f t="shared" si="5"/>
        <v>2.5647656279536926E-3</v>
      </c>
      <c r="H85" s="5" t="str">
        <f t="shared" si="6"/>
        <v/>
      </c>
      <c r="I85" s="5" t="str">
        <f t="shared" si="7"/>
        <v/>
      </c>
      <c r="J85" s="5" t="e">
        <f t="shared" si="8"/>
        <v>#N/A</v>
      </c>
      <c r="K85" s="5" t="str">
        <f t="shared" si="9"/>
        <v/>
      </c>
      <c r="S85" s="32" t="s">
        <v>2399</v>
      </c>
      <c r="T85" s="32" t="s">
        <v>728</v>
      </c>
      <c r="U85" s="32" t="s">
        <v>491</v>
      </c>
      <c r="W85" t="s">
        <v>924</v>
      </c>
      <c r="X85" t="s">
        <v>2400</v>
      </c>
      <c r="Y85" t="s">
        <v>481</v>
      </c>
      <c r="AA85" s="15" t="s">
        <v>1436</v>
      </c>
      <c r="AB85" s="15" t="s">
        <v>2354</v>
      </c>
      <c r="AC85" s="15" t="s">
        <v>517</v>
      </c>
      <c r="AE85" t="s">
        <v>1005</v>
      </c>
      <c r="AF85" t="s">
        <v>2401</v>
      </c>
      <c r="AG85" t="s">
        <v>2386</v>
      </c>
      <c r="AH85" t="s">
        <v>503</v>
      </c>
      <c r="AJ85" s="28" t="s">
        <v>1701</v>
      </c>
      <c r="AK85" s="28" t="s">
        <v>2396</v>
      </c>
      <c r="AL85" s="28" t="s">
        <v>491</v>
      </c>
      <c r="AM85" s="28"/>
      <c r="AN85" s="28" t="s">
        <v>9</v>
      </c>
      <c r="AO85" s="28"/>
      <c r="AQ85" t="s">
        <v>940</v>
      </c>
      <c r="AR85" t="s">
        <v>938</v>
      </c>
      <c r="AS85" t="s">
        <v>2240</v>
      </c>
      <c r="AT85" t="s">
        <v>2241</v>
      </c>
      <c r="AU85">
        <v>2014</v>
      </c>
      <c r="AV85" t="s">
        <v>2242</v>
      </c>
      <c r="AW85">
        <v>4035.3110000000001</v>
      </c>
    </row>
    <row r="86" spans="1:49" x14ac:dyDescent="0.25">
      <c r="A86" s="5" t="s">
        <v>500</v>
      </c>
      <c r="B86" s="5" t="str">
        <f>INDEX(Regions!B:B,MATCH(A86,Regions!A:A,0))</f>
        <v>Middle-East/North Afr.</v>
      </c>
      <c r="C86" t="s">
        <v>1556</v>
      </c>
      <c r="D86" s="5" t="s">
        <v>1557</v>
      </c>
      <c r="E86" s="5" t="s">
        <v>1558</v>
      </c>
      <c r="F86" s="5">
        <v>788</v>
      </c>
      <c r="G86" s="33">
        <f t="shared" si="5"/>
        <v>1.5164852719890185E-3</v>
      </c>
      <c r="H86" s="5" t="str">
        <f t="shared" si="6"/>
        <v/>
      </c>
      <c r="I86" s="5" t="str">
        <f t="shared" si="7"/>
        <v/>
      </c>
      <c r="J86" s="5" t="str">
        <f t="shared" si="8"/>
        <v/>
      </c>
      <c r="K86" s="5" t="str">
        <f t="shared" si="9"/>
        <v/>
      </c>
      <c r="S86" s="32" t="s">
        <v>2264</v>
      </c>
      <c r="T86" s="32" t="s">
        <v>995</v>
      </c>
      <c r="U86" s="32" t="s">
        <v>503</v>
      </c>
      <c r="W86" t="s">
        <v>1261</v>
      </c>
      <c r="X86" t="s">
        <v>2402</v>
      </c>
      <c r="Y86" t="s">
        <v>481</v>
      </c>
      <c r="AA86" s="15" t="s">
        <v>1535</v>
      </c>
      <c r="AB86" s="15" t="s">
        <v>2354</v>
      </c>
      <c r="AC86" s="15" t="s">
        <v>517</v>
      </c>
      <c r="AE86" t="s">
        <v>524</v>
      </c>
      <c r="AF86" t="s">
        <v>2403</v>
      </c>
      <c r="AG86" t="s">
        <v>2386</v>
      </c>
      <c r="AH86" t="s">
        <v>503</v>
      </c>
      <c r="AJ86" s="28" t="s">
        <v>949</v>
      </c>
      <c r="AK86" s="28" t="s">
        <v>949</v>
      </c>
      <c r="AL86" s="28" t="s">
        <v>517</v>
      </c>
      <c r="AM86" s="28" t="s">
        <v>605</v>
      </c>
      <c r="AN86" s="28" t="s">
        <v>9</v>
      </c>
      <c r="AO86" s="28"/>
      <c r="AQ86" t="s">
        <v>680</v>
      </c>
      <c r="AR86" t="s">
        <v>681</v>
      </c>
      <c r="AS86" t="s">
        <v>2240</v>
      </c>
      <c r="AT86" t="s">
        <v>2241</v>
      </c>
      <c r="AU86">
        <v>2014</v>
      </c>
      <c r="AV86" t="s">
        <v>2242</v>
      </c>
      <c r="AW86">
        <v>81450.377999999997</v>
      </c>
    </row>
    <row r="87" spans="1:49" x14ac:dyDescent="0.25">
      <c r="A87" s="5" t="s">
        <v>500</v>
      </c>
      <c r="B87" s="5" t="str">
        <f>INDEX(Regions!B:B,MATCH(A87,Regions!A:A,0))</f>
        <v>Middle-East/North Afr.</v>
      </c>
      <c r="C87" t="s">
        <v>1561</v>
      </c>
      <c r="D87" s="5" t="s">
        <v>1562</v>
      </c>
      <c r="E87" s="5" t="s">
        <v>1563</v>
      </c>
      <c r="F87" s="5">
        <v>792</v>
      </c>
      <c r="G87" s="33">
        <f t="shared" si="5"/>
        <v>1.0586179288496117E-2</v>
      </c>
      <c r="H87" s="5" t="str">
        <f t="shared" si="6"/>
        <v/>
      </c>
      <c r="I87" s="5" t="str">
        <f t="shared" si="7"/>
        <v/>
      </c>
      <c r="J87" s="5" t="str">
        <f t="shared" si="8"/>
        <v/>
      </c>
      <c r="K87" s="5" t="str">
        <f t="shared" si="9"/>
        <v/>
      </c>
      <c r="S87" s="32" t="s">
        <v>2404</v>
      </c>
      <c r="T87" s="32" t="s">
        <v>735</v>
      </c>
      <c r="U87" s="32" t="s">
        <v>491</v>
      </c>
      <c r="W87" t="s">
        <v>1322</v>
      </c>
      <c r="X87" t="s">
        <v>2405</v>
      </c>
      <c r="Y87" t="s">
        <v>481</v>
      </c>
      <c r="AA87" s="15" t="s">
        <v>705</v>
      </c>
      <c r="AB87" s="15" t="s">
        <v>2406</v>
      </c>
      <c r="AC87" s="15" t="s">
        <v>517</v>
      </c>
      <c r="AE87" t="s">
        <v>531</v>
      </c>
      <c r="AF87" t="s">
        <v>2403</v>
      </c>
      <c r="AG87" t="s">
        <v>2386</v>
      </c>
      <c r="AH87" t="s">
        <v>503</v>
      </c>
      <c r="AJ87" s="28" t="s">
        <v>955</v>
      </c>
      <c r="AK87" s="28" t="s">
        <v>2262</v>
      </c>
      <c r="AL87" s="28" t="s">
        <v>491</v>
      </c>
      <c r="AM87" s="28"/>
      <c r="AN87" s="28" t="s">
        <v>9</v>
      </c>
      <c r="AO87" s="28"/>
      <c r="AQ87" t="s">
        <v>949</v>
      </c>
      <c r="AR87" t="s">
        <v>947</v>
      </c>
      <c r="AS87" t="s">
        <v>2240</v>
      </c>
      <c r="AT87" t="s">
        <v>2241</v>
      </c>
      <c r="AU87">
        <v>2014</v>
      </c>
      <c r="AV87" t="s">
        <v>2242</v>
      </c>
      <c r="AW87">
        <v>27224.473000000002</v>
      </c>
    </row>
    <row r="88" spans="1:49" x14ac:dyDescent="0.25">
      <c r="A88" s="5" t="s">
        <v>500</v>
      </c>
      <c r="B88" s="5" t="str">
        <f>INDEX(Regions!B:B,MATCH(A88,Regions!A:A,0))</f>
        <v>Middle-East/North Afr.</v>
      </c>
      <c r="C88" t="s">
        <v>1594</v>
      </c>
      <c r="D88" s="5" t="s">
        <v>1595</v>
      </c>
      <c r="E88" s="5" t="s">
        <v>1596</v>
      </c>
      <c r="F88" s="5">
        <v>784</v>
      </c>
      <c r="G88" s="33">
        <f t="shared" si="5"/>
        <v>1.2630305352880613E-3</v>
      </c>
      <c r="H88" s="5" t="str">
        <f t="shared" si="6"/>
        <v/>
      </c>
      <c r="I88" s="5" t="str">
        <f t="shared" si="7"/>
        <v/>
      </c>
      <c r="J88" s="5" t="str">
        <f t="shared" si="8"/>
        <v/>
      </c>
      <c r="K88" s="5" t="str">
        <f t="shared" si="9"/>
        <v/>
      </c>
      <c r="S88" s="32" t="s">
        <v>2407</v>
      </c>
      <c r="T88" s="32" t="s">
        <v>1029</v>
      </c>
      <c r="U88" s="32" t="s">
        <v>557</v>
      </c>
      <c r="W88" t="s">
        <v>1399</v>
      </c>
      <c r="X88" t="s">
        <v>1397</v>
      </c>
      <c r="Y88" t="s">
        <v>481</v>
      </c>
      <c r="AA88" s="15" t="s">
        <v>779</v>
      </c>
      <c r="AB88" s="15" t="s">
        <v>2406</v>
      </c>
      <c r="AC88" s="15" t="s">
        <v>517</v>
      </c>
      <c r="AE88" t="s">
        <v>554</v>
      </c>
      <c r="AF88" t="s">
        <v>2403</v>
      </c>
      <c r="AG88" t="s">
        <v>2386</v>
      </c>
      <c r="AH88" t="s">
        <v>503</v>
      </c>
      <c r="AJ88" s="28" t="s">
        <v>979</v>
      </c>
      <c r="AK88" s="28" t="s">
        <v>979</v>
      </c>
      <c r="AL88" s="28" t="s">
        <v>517</v>
      </c>
      <c r="AM88" s="28" t="s">
        <v>605</v>
      </c>
      <c r="AN88" s="28" t="s">
        <v>9</v>
      </c>
      <c r="AO88" s="28"/>
      <c r="AQ88" t="s">
        <v>955</v>
      </c>
      <c r="AR88" t="s">
        <v>953</v>
      </c>
      <c r="AS88" t="s">
        <v>2240</v>
      </c>
      <c r="AT88" t="s">
        <v>2241</v>
      </c>
      <c r="AU88">
        <v>2014</v>
      </c>
      <c r="AV88" t="s">
        <v>2242</v>
      </c>
      <c r="AW88">
        <v>33.725000000000001</v>
      </c>
    </row>
    <row r="89" spans="1:49" x14ac:dyDescent="0.25">
      <c r="A89" s="5" t="s">
        <v>500</v>
      </c>
      <c r="B89" s="5" t="str">
        <f>INDEX(Regions!B:B,MATCH(A89,Regions!A:A,0))</f>
        <v>Middle-East/North Afr.</v>
      </c>
      <c r="C89" t="s">
        <v>1640</v>
      </c>
      <c r="D89" s="5" t="s">
        <v>1641</v>
      </c>
      <c r="E89" s="5" t="s">
        <v>1642</v>
      </c>
      <c r="F89" s="5">
        <v>887</v>
      </c>
      <c r="G89" s="33">
        <f t="shared" si="5"/>
        <v>3.5397471919681603E-3</v>
      </c>
      <c r="H89" s="5" t="str">
        <f t="shared" si="6"/>
        <v/>
      </c>
      <c r="I89" s="5" t="str">
        <f t="shared" si="7"/>
        <v/>
      </c>
      <c r="J89" s="5" t="str">
        <f t="shared" si="8"/>
        <v>OAS</v>
      </c>
      <c r="K89" s="5" t="str">
        <f t="shared" si="9"/>
        <v/>
      </c>
      <c r="S89" s="32" t="e">
        <v>#N/A</v>
      </c>
      <c r="T89" s="32" t="s">
        <v>1690</v>
      </c>
      <c r="U89" s="32" t="e">
        <v>#N/A</v>
      </c>
      <c r="W89" t="s">
        <v>1453</v>
      </c>
      <c r="X89" t="s">
        <v>2408</v>
      </c>
      <c r="Y89" t="s">
        <v>481</v>
      </c>
      <c r="AA89" s="15" t="s">
        <v>857</v>
      </c>
      <c r="AB89" s="15" t="s">
        <v>2406</v>
      </c>
      <c r="AC89" s="15" t="s">
        <v>517</v>
      </c>
      <c r="AE89" t="s">
        <v>583</v>
      </c>
      <c r="AF89" t="s">
        <v>2403</v>
      </c>
      <c r="AG89" t="s">
        <v>2386</v>
      </c>
      <c r="AH89" t="s">
        <v>503</v>
      </c>
      <c r="AJ89" s="28" t="s">
        <v>969</v>
      </c>
      <c r="AK89" s="28" t="s">
        <v>2239</v>
      </c>
      <c r="AL89" s="28" t="s">
        <v>503</v>
      </c>
      <c r="AM89" s="28"/>
      <c r="AN89" s="28" t="s">
        <v>9</v>
      </c>
      <c r="AO89" s="28"/>
      <c r="AQ89" t="s">
        <v>722</v>
      </c>
      <c r="AR89" t="s">
        <v>723</v>
      </c>
      <c r="AS89" t="s">
        <v>2240</v>
      </c>
      <c r="AT89" t="s">
        <v>2241</v>
      </c>
      <c r="AU89">
        <v>2014</v>
      </c>
      <c r="AV89" t="s">
        <v>2242</v>
      </c>
      <c r="AW89">
        <v>10701.456</v>
      </c>
    </row>
    <row r="90" spans="1:49" x14ac:dyDescent="0.25">
      <c r="A90" s="5" t="s">
        <v>500</v>
      </c>
      <c r="B90" s="5" t="str">
        <f>INDEX(Regions!B:B,MATCH(A90,Regions!A:A,0))</f>
        <v>Middle-East/North Afr.</v>
      </c>
      <c r="C90" t="s">
        <v>1660</v>
      </c>
      <c r="D90" s="5" t="s">
        <v>1661</v>
      </c>
      <c r="E90" s="5" t="s">
        <v>1662</v>
      </c>
      <c r="F90" s="5">
        <v>732</v>
      </c>
      <c r="G90" s="33">
        <f t="shared" si="5"/>
        <v>7.0592799737434456E-5</v>
      </c>
      <c r="H90" s="5" t="str">
        <f t="shared" si="6"/>
        <v/>
      </c>
      <c r="I90" s="5" t="str">
        <f t="shared" si="7"/>
        <v/>
      </c>
      <c r="J90" s="5" t="e">
        <f t="shared" si="8"/>
        <v>#N/A</v>
      </c>
      <c r="K90" s="5" t="str">
        <f t="shared" si="9"/>
        <v/>
      </c>
      <c r="S90" s="32" t="s">
        <v>550</v>
      </c>
      <c r="T90" s="32" t="s">
        <v>550</v>
      </c>
      <c r="U90" s="32" t="s">
        <v>550</v>
      </c>
      <c r="W90" t="s">
        <v>1626</v>
      </c>
      <c r="X90" t="s">
        <v>1624</v>
      </c>
      <c r="Y90" t="s">
        <v>481</v>
      </c>
      <c r="AA90" s="15" t="s">
        <v>895</v>
      </c>
      <c r="AB90" s="15" t="s">
        <v>2406</v>
      </c>
      <c r="AC90" s="15" t="s">
        <v>517</v>
      </c>
      <c r="AE90" t="s">
        <v>610</v>
      </c>
      <c r="AF90" t="s">
        <v>2403</v>
      </c>
      <c r="AG90" t="s">
        <v>2386</v>
      </c>
      <c r="AH90" t="s">
        <v>503</v>
      </c>
      <c r="AJ90" s="28" t="s">
        <v>935</v>
      </c>
      <c r="AK90" s="28" t="s">
        <v>935</v>
      </c>
      <c r="AL90" s="28" t="s">
        <v>517</v>
      </c>
      <c r="AM90" s="28" t="s">
        <v>605</v>
      </c>
      <c r="AN90" s="28" t="s">
        <v>9</v>
      </c>
      <c r="AO90" s="28"/>
      <c r="AQ90" t="s">
        <v>1674</v>
      </c>
      <c r="AR90" t="s">
        <v>1672</v>
      </c>
      <c r="AS90" t="s">
        <v>2240</v>
      </c>
      <c r="AT90" t="s">
        <v>2241</v>
      </c>
      <c r="AU90">
        <v>2014</v>
      </c>
      <c r="AV90" t="s">
        <v>2242</v>
      </c>
      <c r="AW90">
        <v>56.381</v>
      </c>
    </row>
    <row r="91" spans="1:49" x14ac:dyDescent="0.25">
      <c r="A91" s="5" t="s">
        <v>481</v>
      </c>
      <c r="B91" s="5" t="str">
        <f>INDEX(Regions!B:B,MATCH(A91,Regions!A:A,0))</f>
        <v>Other Asia</v>
      </c>
      <c r="C91" t="s">
        <v>478</v>
      </c>
      <c r="D91" s="5" t="s">
        <v>479</v>
      </c>
      <c r="E91" s="5" t="s">
        <v>480</v>
      </c>
      <c r="F91" s="5">
        <v>4</v>
      </c>
      <c r="G91" s="33">
        <f t="shared" si="5"/>
        <v>4.5742925230753302E-3</v>
      </c>
      <c r="H91" s="5" t="str">
        <f t="shared" si="6"/>
        <v>NotAccounted</v>
      </c>
      <c r="I91" s="5" t="str">
        <f t="shared" si="7"/>
        <v/>
      </c>
      <c r="J91" s="5" t="str">
        <f t="shared" si="8"/>
        <v/>
      </c>
      <c r="K91" s="5" t="str">
        <f t="shared" si="9"/>
        <v/>
      </c>
      <c r="S91" s="32" t="s">
        <v>2409</v>
      </c>
      <c r="T91" s="32" t="s">
        <v>742</v>
      </c>
      <c r="U91" s="32" t="s">
        <v>491</v>
      </c>
      <c r="W91" t="s">
        <v>583</v>
      </c>
      <c r="X91" t="s">
        <v>581</v>
      </c>
      <c r="Y91" t="s">
        <v>503</v>
      </c>
      <c r="AA91" s="15" t="s">
        <v>903</v>
      </c>
      <c r="AB91" s="15" t="s">
        <v>2406</v>
      </c>
      <c r="AC91" s="15" t="s">
        <v>517</v>
      </c>
      <c r="AE91" t="s">
        <v>739</v>
      </c>
      <c r="AF91" t="s">
        <v>2403</v>
      </c>
      <c r="AG91" t="s">
        <v>2386</v>
      </c>
      <c r="AH91" t="s">
        <v>503</v>
      </c>
      <c r="AJ91" s="28" t="s">
        <v>984</v>
      </c>
      <c r="AK91" s="28" t="s">
        <v>984</v>
      </c>
      <c r="AL91" s="28" t="s">
        <v>517</v>
      </c>
      <c r="AM91" s="28" t="s">
        <v>605</v>
      </c>
      <c r="AN91" s="28" t="s">
        <v>9</v>
      </c>
      <c r="AO91" s="28"/>
      <c r="AQ91" t="s">
        <v>963</v>
      </c>
      <c r="AR91" t="s">
        <v>961</v>
      </c>
      <c r="AS91" t="s">
        <v>2240</v>
      </c>
      <c r="AT91" t="s">
        <v>2241</v>
      </c>
      <c r="AU91">
        <v>2014</v>
      </c>
      <c r="AV91" t="s">
        <v>2242</v>
      </c>
      <c r="AW91">
        <v>108.902</v>
      </c>
    </row>
    <row r="92" spans="1:49" x14ac:dyDescent="0.25">
      <c r="A92" s="5" t="s">
        <v>481</v>
      </c>
      <c r="B92" s="5" t="str">
        <f>INDEX(Regions!B:B,MATCH(A92,Regions!A:A,0))</f>
        <v>Other Asia</v>
      </c>
      <c r="C92" t="s">
        <v>599</v>
      </c>
      <c r="D92" s="5" t="s">
        <v>600</v>
      </c>
      <c r="E92" s="5" t="s">
        <v>601</v>
      </c>
      <c r="F92" s="5">
        <v>50</v>
      </c>
      <c r="G92" s="33">
        <f t="shared" si="5"/>
        <v>2.1180428166251441E-2</v>
      </c>
      <c r="H92" s="5" t="str">
        <f t="shared" si="6"/>
        <v/>
      </c>
      <c r="I92" s="5" t="str">
        <f t="shared" si="7"/>
        <v/>
      </c>
      <c r="J92" s="5" t="str">
        <f t="shared" si="8"/>
        <v/>
      </c>
      <c r="K92" s="5" t="str">
        <f t="shared" si="9"/>
        <v/>
      </c>
      <c r="S92" s="32" t="s">
        <v>2253</v>
      </c>
      <c r="T92" s="32" t="s">
        <v>1034</v>
      </c>
      <c r="U92" s="32" t="s">
        <v>500</v>
      </c>
      <c r="W92" t="s">
        <v>630</v>
      </c>
      <c r="X92" t="s">
        <v>628</v>
      </c>
      <c r="Y92" t="s">
        <v>503</v>
      </c>
      <c r="AA92" s="15" t="s">
        <v>1077</v>
      </c>
      <c r="AB92" s="15" t="s">
        <v>2406</v>
      </c>
      <c r="AC92" s="15" t="s">
        <v>517</v>
      </c>
      <c r="AE92" t="s">
        <v>819</v>
      </c>
      <c r="AF92" t="s">
        <v>2403</v>
      </c>
      <c r="AG92" t="s">
        <v>2386</v>
      </c>
      <c r="AH92" t="s">
        <v>503</v>
      </c>
      <c r="AJ92" s="28" t="s">
        <v>890</v>
      </c>
      <c r="AK92" s="28" t="s">
        <v>890</v>
      </c>
      <c r="AL92" s="28" t="s">
        <v>517</v>
      </c>
      <c r="AM92" s="28" t="s">
        <v>605</v>
      </c>
      <c r="AN92" s="28" t="s">
        <v>9</v>
      </c>
      <c r="AO92" s="28"/>
      <c r="AQ92" t="s">
        <v>969</v>
      </c>
      <c r="AR92" t="s">
        <v>967</v>
      </c>
      <c r="AS92" t="s">
        <v>2240</v>
      </c>
      <c r="AT92" t="s">
        <v>2241</v>
      </c>
      <c r="AU92">
        <v>2014</v>
      </c>
      <c r="AV92" t="s">
        <v>2242</v>
      </c>
      <c r="AW92">
        <v>401.31400000000002</v>
      </c>
    </row>
    <row r="93" spans="1:49" x14ac:dyDescent="0.25">
      <c r="A93" s="5" t="s">
        <v>481</v>
      </c>
      <c r="B93" s="5" t="str">
        <f>INDEX(Regions!B:B,MATCH(A93,Regions!A:A,0))</f>
        <v>Other Asia</v>
      </c>
      <c r="C93" t="s">
        <v>646</v>
      </c>
      <c r="D93" s="5" t="s">
        <v>647</v>
      </c>
      <c r="E93" s="5" t="s">
        <v>648</v>
      </c>
      <c r="F93" s="5">
        <v>64</v>
      </c>
      <c r="G93" s="33">
        <f t="shared" si="5"/>
        <v>9.8564268808825188E-5</v>
      </c>
      <c r="H93" s="5" t="str">
        <f t="shared" si="6"/>
        <v/>
      </c>
      <c r="I93" s="5" t="str">
        <f t="shared" si="7"/>
        <v/>
      </c>
      <c r="J93" s="5" t="e">
        <f t="shared" si="8"/>
        <v>#N/A</v>
      </c>
      <c r="K93" s="5" t="str">
        <f t="shared" si="9"/>
        <v/>
      </c>
      <c r="S93" s="32" t="s">
        <v>2253</v>
      </c>
      <c r="T93" s="32" t="s">
        <v>1039</v>
      </c>
      <c r="U93" s="32" t="s">
        <v>500</v>
      </c>
      <c r="W93" t="s">
        <v>799</v>
      </c>
      <c r="X93" t="s">
        <v>2410</v>
      </c>
      <c r="Y93" t="s">
        <v>503</v>
      </c>
      <c r="AA93" s="15" t="s">
        <v>1146</v>
      </c>
      <c r="AB93" s="15" t="s">
        <v>2406</v>
      </c>
      <c r="AC93" s="15" t="s">
        <v>517</v>
      </c>
      <c r="AE93" t="s">
        <v>862</v>
      </c>
      <c r="AF93" t="s">
        <v>2403</v>
      </c>
      <c r="AG93" t="s">
        <v>2386</v>
      </c>
      <c r="AH93" t="s">
        <v>503</v>
      </c>
      <c r="AJ93" s="28" t="s">
        <v>722</v>
      </c>
      <c r="AK93" s="28" t="s">
        <v>722</v>
      </c>
      <c r="AL93" s="28" t="s">
        <v>491</v>
      </c>
      <c r="AM93" s="28"/>
      <c r="AN93" s="28" t="s">
        <v>9</v>
      </c>
      <c r="AO93" s="28"/>
      <c r="AQ93" t="s">
        <v>2269</v>
      </c>
      <c r="AR93" t="s">
        <v>2411</v>
      </c>
      <c r="AS93" t="s">
        <v>2240</v>
      </c>
      <c r="AT93" t="s">
        <v>2241</v>
      </c>
      <c r="AU93">
        <v>2014</v>
      </c>
      <c r="AV93" t="s">
        <v>2242</v>
      </c>
      <c r="AW93">
        <v>161.01599999999999</v>
      </c>
    </row>
    <row r="94" spans="1:49" x14ac:dyDescent="0.25">
      <c r="A94" s="5" t="s">
        <v>481</v>
      </c>
      <c r="B94" s="5" t="str">
        <f>INDEX(Regions!B:B,MATCH(A94,Regions!A:A,0))</f>
        <v>Other Asia</v>
      </c>
      <c r="C94" t="s">
        <v>790</v>
      </c>
      <c r="D94" s="5" t="s">
        <v>791</v>
      </c>
      <c r="E94" s="5" t="s">
        <v>792</v>
      </c>
      <c r="F94" s="5">
        <v>184</v>
      </c>
      <c r="G94" s="33">
        <f t="shared" si="5"/>
        <v>2.4249890196117494E-6</v>
      </c>
      <c r="H94" s="5" t="str">
        <f t="shared" si="6"/>
        <v>NotAccounted</v>
      </c>
      <c r="I94" s="5" t="str">
        <f t="shared" si="7"/>
        <v>ANZ</v>
      </c>
      <c r="J94" s="5" t="e">
        <f t="shared" si="8"/>
        <v>#N/A</v>
      </c>
      <c r="K94" s="5" t="str">
        <f t="shared" si="9"/>
        <v>SEA</v>
      </c>
      <c r="S94" s="32" t="s">
        <v>853</v>
      </c>
      <c r="T94" s="32" t="s">
        <v>1020</v>
      </c>
      <c r="U94" s="32" t="s">
        <v>491</v>
      </c>
      <c r="W94" t="s">
        <v>819</v>
      </c>
      <c r="X94" t="s">
        <v>817</v>
      </c>
      <c r="Y94" t="s">
        <v>503</v>
      </c>
      <c r="AA94" s="15" t="s">
        <v>1186</v>
      </c>
      <c r="AB94" s="15" t="s">
        <v>2406</v>
      </c>
      <c r="AC94" s="15" t="s">
        <v>517</v>
      </c>
      <c r="AE94" t="s">
        <v>869</v>
      </c>
      <c r="AF94" t="s">
        <v>2412</v>
      </c>
      <c r="AG94" t="s">
        <v>2386</v>
      </c>
      <c r="AH94" t="s">
        <v>503</v>
      </c>
      <c r="AJ94" s="28" t="s">
        <v>963</v>
      </c>
      <c r="AK94" s="28" t="s">
        <v>2239</v>
      </c>
      <c r="AL94" s="28" t="s">
        <v>503</v>
      </c>
      <c r="AM94" s="28"/>
      <c r="AN94" s="28" t="s">
        <v>9</v>
      </c>
      <c r="AO94" s="28"/>
      <c r="AQ94" t="s">
        <v>974</v>
      </c>
      <c r="AR94" t="s">
        <v>972</v>
      </c>
      <c r="AS94" t="s">
        <v>2240</v>
      </c>
      <c r="AT94" t="s">
        <v>2241</v>
      </c>
      <c r="AU94">
        <v>2014</v>
      </c>
      <c r="AV94" t="s">
        <v>2242</v>
      </c>
      <c r="AW94">
        <v>15923.236000000001</v>
      </c>
    </row>
    <row r="95" spans="1:49" x14ac:dyDescent="0.25">
      <c r="A95" s="5" t="s">
        <v>481</v>
      </c>
      <c r="B95" s="5" t="str">
        <f>INDEX(Regions!B:B,MATCH(A95,Regions!A:A,0))</f>
        <v>Other Asia</v>
      </c>
      <c r="C95" t="s">
        <v>911</v>
      </c>
      <c r="D95" s="5" t="s">
        <v>912</v>
      </c>
      <c r="E95" s="5" t="s">
        <v>913</v>
      </c>
      <c r="F95" s="5">
        <v>242</v>
      </c>
      <c r="G95" s="33">
        <f t="shared" si="5"/>
        <v>1.1876880962125709E-4</v>
      </c>
      <c r="H95" s="5" t="str">
        <f t="shared" si="6"/>
        <v/>
      </c>
      <c r="I95" s="5" t="str">
        <f t="shared" si="7"/>
        <v>ANZ</v>
      </c>
      <c r="J95" s="5" t="str">
        <f t="shared" si="8"/>
        <v/>
      </c>
      <c r="K95" s="5" t="str">
        <f t="shared" si="9"/>
        <v>SEA</v>
      </c>
      <c r="S95" s="32" t="s">
        <v>1047</v>
      </c>
      <c r="T95" s="32" t="s">
        <v>1047</v>
      </c>
      <c r="U95" s="32" t="s">
        <v>500</v>
      </c>
      <c r="W95" t="s">
        <v>869</v>
      </c>
      <c r="X95" t="s">
        <v>2413</v>
      </c>
      <c r="Y95" t="s">
        <v>503</v>
      </c>
      <c r="AA95" s="15" t="s">
        <v>2414</v>
      </c>
      <c r="AB95" s="15" t="s">
        <v>2406</v>
      </c>
      <c r="AC95" s="15" t="s">
        <v>517</v>
      </c>
      <c r="AE95" t="s">
        <v>963</v>
      </c>
      <c r="AF95" t="s">
        <v>2403</v>
      </c>
      <c r="AG95" t="s">
        <v>2386</v>
      </c>
      <c r="AH95" t="s">
        <v>503</v>
      </c>
      <c r="AJ95" s="28" t="s">
        <v>1674</v>
      </c>
      <c r="AK95" s="28" t="s">
        <v>1674</v>
      </c>
      <c r="AL95" s="28" t="s">
        <v>491</v>
      </c>
      <c r="AM95" s="28"/>
      <c r="AN95" s="28" t="s">
        <v>9</v>
      </c>
      <c r="AO95" s="28"/>
      <c r="AQ95" t="s">
        <v>979</v>
      </c>
      <c r="AR95" t="s">
        <v>977</v>
      </c>
      <c r="AS95" t="s">
        <v>2240</v>
      </c>
      <c r="AT95" t="s">
        <v>2241</v>
      </c>
      <c r="AU95">
        <v>2014</v>
      </c>
      <c r="AV95" t="s">
        <v>2242</v>
      </c>
      <c r="AW95">
        <v>11150.982</v>
      </c>
    </row>
    <row r="96" spans="1:49" x14ac:dyDescent="0.25">
      <c r="A96" s="5" t="s">
        <v>481</v>
      </c>
      <c r="B96" s="5" t="str">
        <f>INDEX(Regions!B:B,MATCH(A96,Regions!A:A,0))</f>
        <v>Other Asia</v>
      </c>
      <c r="C96" t="s">
        <v>922</v>
      </c>
      <c r="D96" s="5" t="s">
        <v>923</v>
      </c>
      <c r="E96" s="5" t="s">
        <v>924</v>
      </c>
      <c r="F96" s="5">
        <v>258</v>
      </c>
      <c r="G96" s="33">
        <f t="shared" si="5"/>
        <v>3.7243889072048522E-5</v>
      </c>
      <c r="H96" s="5" t="str">
        <f t="shared" si="6"/>
        <v/>
      </c>
      <c r="I96" s="5" t="str">
        <f t="shared" si="7"/>
        <v>ANZ</v>
      </c>
      <c r="J96" s="5" t="str">
        <f t="shared" si="8"/>
        <v/>
      </c>
      <c r="K96" s="5" t="str">
        <f t="shared" si="9"/>
        <v>SEA</v>
      </c>
      <c r="S96" s="32" t="s">
        <v>2415</v>
      </c>
      <c r="T96" s="32" t="s">
        <v>749</v>
      </c>
      <c r="U96" s="32" t="s">
        <v>491</v>
      </c>
      <c r="W96" t="s">
        <v>885</v>
      </c>
      <c r="X96" t="s">
        <v>2416</v>
      </c>
      <c r="Y96" t="s">
        <v>503</v>
      </c>
      <c r="AA96" s="15" t="s">
        <v>853</v>
      </c>
      <c r="AB96" s="15" t="s">
        <v>2406</v>
      </c>
      <c r="AC96" s="15" t="s">
        <v>517</v>
      </c>
      <c r="AE96" t="s">
        <v>995</v>
      </c>
      <c r="AF96" t="s">
        <v>2403</v>
      </c>
      <c r="AG96" t="s">
        <v>2386</v>
      </c>
      <c r="AH96" t="s">
        <v>503</v>
      </c>
      <c r="AJ96" s="28" t="s">
        <v>974</v>
      </c>
      <c r="AK96" s="28" t="s">
        <v>974</v>
      </c>
      <c r="AL96" s="28" t="s">
        <v>503</v>
      </c>
      <c r="AM96" s="28" t="s">
        <v>595</v>
      </c>
      <c r="AN96" s="28" t="s">
        <v>9</v>
      </c>
      <c r="AO96" s="28"/>
      <c r="AQ96" t="s">
        <v>984</v>
      </c>
      <c r="AR96" t="s">
        <v>982</v>
      </c>
      <c r="AS96" t="s">
        <v>2240</v>
      </c>
      <c r="AT96" t="s">
        <v>2241</v>
      </c>
      <c r="AU96">
        <v>2014</v>
      </c>
      <c r="AV96" t="s">
        <v>2242</v>
      </c>
      <c r="AW96">
        <v>1692.4369999999999</v>
      </c>
    </row>
    <row r="97" spans="1:49" x14ac:dyDescent="0.25">
      <c r="A97" s="5" t="s">
        <v>481</v>
      </c>
      <c r="B97" s="5" t="str">
        <f>INDEX(Regions!B:B,MATCH(A97,Regions!A:A,0))</f>
        <v>Other Asia</v>
      </c>
      <c r="C97" t="s">
        <v>1081</v>
      </c>
      <c r="D97" s="5" t="s">
        <v>1082</v>
      </c>
      <c r="E97" s="5" t="s">
        <v>1083</v>
      </c>
      <c r="F97" s="5">
        <v>296</v>
      </c>
      <c r="G97" s="33">
        <f t="shared" si="5"/>
        <v>1.4994741611234465E-5</v>
      </c>
      <c r="H97" s="5" t="str">
        <f t="shared" si="6"/>
        <v>NotAccounted</v>
      </c>
      <c r="I97" s="5" t="str">
        <f t="shared" si="7"/>
        <v>ANZ</v>
      </c>
      <c r="J97" s="5" t="str">
        <f t="shared" si="8"/>
        <v/>
      </c>
      <c r="K97" s="5" t="str">
        <f t="shared" si="9"/>
        <v>SEA</v>
      </c>
      <c r="S97" s="32" t="s">
        <v>2264</v>
      </c>
      <c r="T97" s="32" t="s">
        <v>1056</v>
      </c>
      <c r="U97" s="32" t="s">
        <v>503</v>
      </c>
      <c r="W97" t="s">
        <v>969</v>
      </c>
      <c r="X97" t="s">
        <v>967</v>
      </c>
      <c r="Y97" t="s">
        <v>503</v>
      </c>
      <c r="AA97" s="15" t="s">
        <v>1377</v>
      </c>
      <c r="AB97" s="15" t="s">
        <v>2406</v>
      </c>
      <c r="AC97" s="15" t="s">
        <v>517</v>
      </c>
      <c r="AE97" t="s">
        <v>1056</v>
      </c>
      <c r="AF97" t="s">
        <v>2417</v>
      </c>
      <c r="AG97" t="s">
        <v>2386</v>
      </c>
      <c r="AH97" t="s">
        <v>503</v>
      </c>
      <c r="AJ97" s="28" t="s">
        <v>1657</v>
      </c>
      <c r="AK97" s="28" t="s">
        <v>2418</v>
      </c>
      <c r="AL97" s="28" t="s">
        <v>503</v>
      </c>
      <c r="AM97" s="28" t="s">
        <v>595</v>
      </c>
      <c r="AN97" s="28" t="s">
        <v>9</v>
      </c>
      <c r="AO97" s="28"/>
      <c r="AQ97" t="s">
        <v>990</v>
      </c>
      <c r="AR97" t="s">
        <v>988</v>
      </c>
      <c r="AS97" t="s">
        <v>2240</v>
      </c>
      <c r="AT97" t="s">
        <v>2241</v>
      </c>
      <c r="AU97">
        <v>2014</v>
      </c>
      <c r="AV97" t="s">
        <v>2242</v>
      </c>
      <c r="AW97">
        <v>763.38</v>
      </c>
    </row>
    <row r="98" spans="1:49" x14ac:dyDescent="0.25">
      <c r="A98" s="5" t="s">
        <v>481</v>
      </c>
      <c r="B98" s="5" t="str">
        <f>INDEX(Regions!B:B,MATCH(A98,Regions!A:A,0))</f>
        <v>Other Asia</v>
      </c>
      <c r="C98" t="s">
        <v>1159</v>
      </c>
      <c r="D98" s="5" t="s">
        <v>1160</v>
      </c>
      <c r="E98" s="5" t="s">
        <v>1161</v>
      </c>
      <c r="F98" s="5">
        <v>462</v>
      </c>
      <c r="G98" s="33">
        <f t="shared" si="5"/>
        <v>5.962956296232012E-5</v>
      </c>
      <c r="H98" s="5" t="str">
        <f t="shared" si="6"/>
        <v>NotAccounted</v>
      </c>
      <c r="I98" s="5" t="str">
        <f t="shared" si="7"/>
        <v/>
      </c>
      <c r="J98" s="5" t="str">
        <f t="shared" si="8"/>
        <v/>
      </c>
      <c r="K98" s="5" t="str">
        <f t="shared" si="9"/>
        <v/>
      </c>
      <c r="L98" t="s">
        <v>2419</v>
      </c>
      <c r="S98" s="32" t="s">
        <v>2253</v>
      </c>
      <c r="T98" s="32" t="s">
        <v>1067</v>
      </c>
      <c r="U98" s="32" t="s">
        <v>500</v>
      </c>
      <c r="W98" t="s">
        <v>974</v>
      </c>
      <c r="X98" t="s">
        <v>972</v>
      </c>
      <c r="Y98" t="s">
        <v>503</v>
      </c>
      <c r="AA98" s="15" t="s">
        <v>1429</v>
      </c>
      <c r="AB98" s="15" t="s">
        <v>2406</v>
      </c>
      <c r="AC98" s="15" t="s">
        <v>517</v>
      </c>
      <c r="AE98" t="s">
        <v>1217</v>
      </c>
      <c r="AF98" t="s">
        <v>2403</v>
      </c>
      <c r="AG98" t="s">
        <v>2386</v>
      </c>
      <c r="AH98" t="s">
        <v>503</v>
      </c>
      <c r="AJ98" s="28" t="s">
        <v>2269</v>
      </c>
      <c r="AK98" s="28" t="s">
        <v>2270</v>
      </c>
      <c r="AL98" s="28" t="s">
        <v>481</v>
      </c>
      <c r="AM98" s="28"/>
      <c r="AN98" s="28" t="s">
        <v>9</v>
      </c>
      <c r="AO98" s="28" t="s">
        <v>2411</v>
      </c>
      <c r="AQ98" t="s">
        <v>995</v>
      </c>
      <c r="AR98" t="s">
        <v>993</v>
      </c>
      <c r="AS98" t="s">
        <v>2240</v>
      </c>
      <c r="AT98" t="s">
        <v>2241</v>
      </c>
      <c r="AU98">
        <v>2014</v>
      </c>
      <c r="AV98" t="s">
        <v>2242</v>
      </c>
      <c r="AW98">
        <v>10549.009</v>
      </c>
    </row>
    <row r="99" spans="1:49" x14ac:dyDescent="0.25">
      <c r="A99" s="5" t="s">
        <v>481</v>
      </c>
      <c r="B99" s="5" t="str">
        <f>INDEX(Regions!B:B,MATCH(A99,Regions!A:A,0))</f>
        <v>Other Asia</v>
      </c>
      <c r="C99" t="s">
        <v>1173</v>
      </c>
      <c r="D99" s="5" t="s">
        <v>1174</v>
      </c>
      <c r="E99" s="5" t="s">
        <v>1175</v>
      </c>
      <c r="F99" s="5">
        <v>584</v>
      </c>
      <c r="G99" s="33">
        <f t="shared" si="5"/>
        <v>7.8377958935266647E-6</v>
      </c>
      <c r="H99" s="5" t="str">
        <f t="shared" si="6"/>
        <v>NotAccounted</v>
      </c>
      <c r="I99" s="5" t="str">
        <f t="shared" si="7"/>
        <v>ANZ</v>
      </c>
      <c r="J99" s="5" t="e">
        <f t="shared" si="8"/>
        <v>#N/A</v>
      </c>
      <c r="K99" s="5" t="str">
        <f t="shared" si="9"/>
        <v>SEA</v>
      </c>
      <c r="S99" s="32" t="s">
        <v>2298</v>
      </c>
      <c r="T99" s="32" t="s">
        <v>1061</v>
      </c>
      <c r="U99" s="32" t="s">
        <v>557</v>
      </c>
      <c r="W99" t="s">
        <v>995</v>
      </c>
      <c r="X99" t="s">
        <v>993</v>
      </c>
      <c r="Y99" t="s">
        <v>503</v>
      </c>
      <c r="AA99" s="15" t="s">
        <v>1458</v>
      </c>
      <c r="AB99" s="15" t="s">
        <v>2406</v>
      </c>
      <c r="AC99" s="15" t="s">
        <v>517</v>
      </c>
      <c r="AE99" t="s">
        <v>1254</v>
      </c>
      <c r="AF99" t="s">
        <v>2403</v>
      </c>
      <c r="AG99" t="s">
        <v>2386</v>
      </c>
      <c r="AH99" t="s">
        <v>503</v>
      </c>
      <c r="AJ99" s="28" t="s">
        <v>990</v>
      </c>
      <c r="AK99" s="28" t="s">
        <v>2418</v>
      </c>
      <c r="AL99" s="28" t="s">
        <v>503</v>
      </c>
      <c r="AM99" s="28" t="s">
        <v>595</v>
      </c>
      <c r="AN99" s="28" t="s">
        <v>9</v>
      </c>
      <c r="AO99" s="28"/>
      <c r="AQ99" t="s">
        <v>1000</v>
      </c>
      <c r="AR99" t="s">
        <v>998</v>
      </c>
      <c r="AS99" t="s">
        <v>2240</v>
      </c>
      <c r="AT99" t="s">
        <v>2241</v>
      </c>
      <c r="AU99">
        <v>2014</v>
      </c>
      <c r="AV99" t="s">
        <v>2242</v>
      </c>
      <c r="AW99">
        <v>0.8</v>
      </c>
    </row>
    <row r="100" spans="1:49" x14ac:dyDescent="0.25">
      <c r="A100" s="5" t="s">
        <v>481</v>
      </c>
      <c r="B100" s="5" t="str">
        <f>INDEX(Regions!B:B,MATCH(A100,Regions!A:A,0))</f>
        <v>Other Asia</v>
      </c>
      <c r="C100" t="s">
        <v>1195</v>
      </c>
      <c r="D100" s="5" t="s">
        <v>1196</v>
      </c>
      <c r="E100" s="5" t="s">
        <v>1197</v>
      </c>
      <c r="F100" s="5">
        <v>583</v>
      </c>
      <c r="G100" s="33">
        <f t="shared" si="5"/>
        <v>1.4728131264552827E-5</v>
      </c>
      <c r="H100" s="5" t="str">
        <f t="shared" si="6"/>
        <v>NotAccounted</v>
      </c>
      <c r="I100" s="5" t="str">
        <f t="shared" si="7"/>
        <v>ANZ</v>
      </c>
      <c r="J100" s="5" t="e">
        <f t="shared" si="8"/>
        <v>#N/A</v>
      </c>
      <c r="K100" s="5" t="str">
        <f t="shared" si="9"/>
        <v>SEA</v>
      </c>
      <c r="S100" s="32" t="s">
        <v>1072</v>
      </c>
      <c r="T100" s="32" t="s">
        <v>1072</v>
      </c>
      <c r="U100" s="32" t="s">
        <v>511</v>
      </c>
      <c r="W100" t="s">
        <v>1005</v>
      </c>
      <c r="X100" t="s">
        <v>1003</v>
      </c>
      <c r="Y100" t="s">
        <v>503</v>
      </c>
      <c r="AA100" s="15" t="s">
        <v>1477</v>
      </c>
      <c r="AB100" s="15" t="s">
        <v>2406</v>
      </c>
      <c r="AC100" s="15" t="s">
        <v>517</v>
      </c>
      <c r="AE100" t="s">
        <v>1684</v>
      </c>
      <c r="AF100" t="s">
        <v>2420</v>
      </c>
      <c r="AG100" t="s">
        <v>2386</v>
      </c>
      <c r="AH100" t="s">
        <v>503</v>
      </c>
      <c r="AJ100" s="28" t="s">
        <v>1010</v>
      </c>
      <c r="AK100" s="28" t="s">
        <v>2323</v>
      </c>
      <c r="AL100" s="28" t="s">
        <v>542</v>
      </c>
      <c r="AM100" s="28" t="s">
        <v>613</v>
      </c>
      <c r="AN100" s="28" t="s">
        <v>9</v>
      </c>
      <c r="AO100" s="28"/>
      <c r="AQ100" t="s">
        <v>1005</v>
      </c>
      <c r="AR100" t="s">
        <v>1003</v>
      </c>
      <c r="AS100" t="s">
        <v>2240</v>
      </c>
      <c r="AT100" t="s">
        <v>2241</v>
      </c>
      <c r="AU100">
        <v>2014</v>
      </c>
      <c r="AV100" t="s">
        <v>2242</v>
      </c>
      <c r="AW100">
        <v>8955.5889999999999</v>
      </c>
    </row>
    <row r="101" spans="1:49" x14ac:dyDescent="0.25">
      <c r="A101" s="5" t="s">
        <v>481</v>
      </c>
      <c r="B101" s="5" t="str">
        <f>INDEX(Regions!B:B,MATCH(A101,Regions!A:A,0))</f>
        <v>Other Asia</v>
      </c>
      <c r="C101" t="s">
        <v>1205</v>
      </c>
      <c r="D101" s="5" t="s">
        <v>1206</v>
      </c>
      <c r="E101" s="5" t="s">
        <v>1207</v>
      </c>
      <c r="F101" s="5">
        <v>496</v>
      </c>
      <c r="G101" s="33">
        <f t="shared" si="5"/>
        <v>4.0301450548146868E-4</v>
      </c>
      <c r="H101" s="5" t="str">
        <f t="shared" si="6"/>
        <v>SEA</v>
      </c>
      <c r="I101" s="5" t="str">
        <f t="shared" si="7"/>
        <v>CHN</v>
      </c>
      <c r="J101" s="5" t="str">
        <f t="shared" si="8"/>
        <v/>
      </c>
      <c r="K101" s="5" t="str">
        <f t="shared" si="9"/>
        <v>CHN</v>
      </c>
      <c r="S101" s="32" t="s">
        <v>2293</v>
      </c>
      <c r="T101" s="32" t="s">
        <v>1077</v>
      </c>
      <c r="U101" s="32" t="s">
        <v>517</v>
      </c>
      <c r="W101" t="s">
        <v>1056</v>
      </c>
      <c r="X101" t="s">
        <v>1054</v>
      </c>
      <c r="Y101" t="s">
        <v>503</v>
      </c>
      <c r="AA101" s="15" t="s">
        <v>1585</v>
      </c>
      <c r="AB101" s="15" t="s">
        <v>2406</v>
      </c>
      <c r="AC101" s="15" t="s">
        <v>517</v>
      </c>
      <c r="AE101" t="s">
        <v>1381</v>
      </c>
      <c r="AF101" t="s">
        <v>2403</v>
      </c>
      <c r="AG101" t="s">
        <v>2386</v>
      </c>
      <c r="AH101" t="s">
        <v>503</v>
      </c>
      <c r="AJ101" s="28" t="s">
        <v>2250</v>
      </c>
      <c r="AK101" s="28" t="s">
        <v>2276</v>
      </c>
      <c r="AL101" s="28" t="s">
        <v>517</v>
      </c>
      <c r="AM101" s="28"/>
      <c r="AN101" s="28" t="s">
        <v>9</v>
      </c>
      <c r="AO101" s="28" t="s">
        <v>2421</v>
      </c>
      <c r="AQ101" t="s">
        <v>735</v>
      </c>
      <c r="AR101" t="s">
        <v>736</v>
      </c>
      <c r="AS101" t="s">
        <v>2240</v>
      </c>
      <c r="AT101" t="s">
        <v>2241</v>
      </c>
      <c r="AU101">
        <v>2014</v>
      </c>
      <c r="AV101" t="s">
        <v>2242</v>
      </c>
      <c r="AW101">
        <v>9804.991</v>
      </c>
    </row>
    <row r="102" spans="1:49" x14ac:dyDescent="0.25">
      <c r="A102" s="5" t="s">
        <v>481</v>
      </c>
      <c r="B102" s="5" t="str">
        <f>INDEX(Regions!B:B,MATCH(A102,Regions!A:A,0))</f>
        <v>Other Asia</v>
      </c>
      <c r="C102" t="s">
        <v>1240</v>
      </c>
      <c r="D102" s="5" t="s">
        <v>1241</v>
      </c>
      <c r="E102" s="5" t="s">
        <v>1242</v>
      </c>
      <c r="F102" s="5">
        <v>520</v>
      </c>
      <c r="G102" s="33">
        <f t="shared" si="5"/>
        <v>1.4103618802094451E-6</v>
      </c>
      <c r="H102" s="5" t="str">
        <f t="shared" si="6"/>
        <v>NotAccounted</v>
      </c>
      <c r="I102" s="5" t="str">
        <f t="shared" si="7"/>
        <v>ANZ</v>
      </c>
      <c r="J102" s="5" t="e">
        <f t="shared" si="8"/>
        <v>#N/A</v>
      </c>
      <c r="K102" s="5" t="str">
        <f t="shared" si="9"/>
        <v>SEA</v>
      </c>
      <c r="S102" s="32" t="s">
        <v>511</v>
      </c>
      <c r="T102" s="32" t="s">
        <v>1093</v>
      </c>
      <c r="U102" s="32" t="s">
        <v>511</v>
      </c>
      <c r="W102" t="s">
        <v>1271</v>
      </c>
      <c r="X102" t="s">
        <v>1269</v>
      </c>
      <c r="Y102" t="s">
        <v>503</v>
      </c>
      <c r="AA102" s="15" t="s">
        <v>516</v>
      </c>
      <c r="AB102" s="15" t="s">
        <v>2422</v>
      </c>
      <c r="AC102" s="15" t="s">
        <v>517</v>
      </c>
      <c r="AE102" t="s">
        <v>1388</v>
      </c>
      <c r="AF102" t="s">
        <v>2403</v>
      </c>
      <c r="AG102" t="s">
        <v>2386</v>
      </c>
      <c r="AH102" t="s">
        <v>503</v>
      </c>
      <c r="AJ102" s="28" t="s">
        <v>1005</v>
      </c>
      <c r="AK102" s="28" t="s">
        <v>1005</v>
      </c>
      <c r="AL102" s="28" t="s">
        <v>503</v>
      </c>
      <c r="AM102" s="28" t="s">
        <v>595</v>
      </c>
      <c r="AN102" s="28" t="s">
        <v>9</v>
      </c>
      <c r="AO102" s="28"/>
      <c r="AQ102" t="s">
        <v>1020</v>
      </c>
      <c r="AR102" t="s">
        <v>1018</v>
      </c>
      <c r="AS102" t="s">
        <v>2240</v>
      </c>
      <c r="AT102" t="s">
        <v>2241</v>
      </c>
      <c r="AU102">
        <v>2014</v>
      </c>
      <c r="AV102" t="s">
        <v>2242</v>
      </c>
      <c r="AW102">
        <v>328.59399999999999</v>
      </c>
    </row>
    <row r="103" spans="1:49" x14ac:dyDescent="0.25">
      <c r="A103" s="5" t="s">
        <v>481</v>
      </c>
      <c r="B103" s="5" t="str">
        <f>INDEX(Regions!B:B,MATCH(A103,Regions!A:A,0))</f>
        <v>Other Asia</v>
      </c>
      <c r="C103" t="s">
        <v>1245</v>
      </c>
      <c r="D103" s="5" t="s">
        <v>1246</v>
      </c>
      <c r="E103" s="5" t="s">
        <v>1247</v>
      </c>
      <c r="F103" s="5">
        <v>524</v>
      </c>
      <c r="G103" s="33">
        <f t="shared" si="5"/>
        <v>3.6881296259066929E-3</v>
      </c>
      <c r="H103" s="5" t="str">
        <f t="shared" si="6"/>
        <v/>
      </c>
      <c r="I103" s="5" t="str">
        <f t="shared" si="7"/>
        <v/>
      </c>
      <c r="J103" s="5" t="str">
        <f t="shared" si="8"/>
        <v/>
      </c>
      <c r="K103" s="5" t="str">
        <f t="shared" si="9"/>
        <v/>
      </c>
      <c r="S103" s="32" t="s">
        <v>2243</v>
      </c>
      <c r="T103" s="32" t="s">
        <v>712</v>
      </c>
      <c r="U103" s="32" t="s">
        <v>481</v>
      </c>
      <c r="W103" t="s">
        <v>1316</v>
      </c>
      <c r="X103" t="s">
        <v>1314</v>
      </c>
      <c r="Y103" t="s">
        <v>503</v>
      </c>
      <c r="AA103" s="15" t="s">
        <v>664</v>
      </c>
      <c r="AB103" s="15" t="s">
        <v>2422</v>
      </c>
      <c r="AC103" s="15" t="s">
        <v>517</v>
      </c>
      <c r="AE103" t="s">
        <v>1393</v>
      </c>
      <c r="AF103" t="s">
        <v>2403</v>
      </c>
      <c r="AG103" t="s">
        <v>2386</v>
      </c>
      <c r="AH103" t="s">
        <v>503</v>
      </c>
      <c r="AJ103" s="28" t="s">
        <v>728</v>
      </c>
      <c r="AK103" s="28" t="s">
        <v>728</v>
      </c>
      <c r="AL103" s="28" t="s">
        <v>491</v>
      </c>
      <c r="AM103" s="28"/>
      <c r="AN103" s="28" t="s">
        <v>9</v>
      </c>
      <c r="AO103" s="28"/>
      <c r="AQ103" t="s">
        <v>550</v>
      </c>
      <c r="AR103" t="s">
        <v>551</v>
      </c>
      <c r="AS103" t="s">
        <v>2240</v>
      </c>
      <c r="AT103" t="s">
        <v>2241</v>
      </c>
      <c r="AU103">
        <v>2014</v>
      </c>
      <c r="AV103" t="s">
        <v>2242</v>
      </c>
      <c r="AW103">
        <v>1295600.7720000001</v>
      </c>
    </row>
    <row r="104" spans="1:49" x14ac:dyDescent="0.25">
      <c r="A104" s="5" t="s">
        <v>481</v>
      </c>
      <c r="B104" s="5" t="str">
        <f>INDEX(Regions!B:B,MATCH(A104,Regions!A:A,0))</f>
        <v>Other Asia</v>
      </c>
      <c r="C104" t="s">
        <v>1259</v>
      </c>
      <c r="D104" s="5" t="s">
        <v>1260</v>
      </c>
      <c r="E104" s="5" t="s">
        <v>1261</v>
      </c>
      <c r="F104" s="5">
        <v>540</v>
      </c>
      <c r="G104" s="33">
        <f t="shared" si="5"/>
        <v>3.6700250699329044E-5</v>
      </c>
      <c r="H104" s="5" t="str">
        <f t="shared" si="6"/>
        <v/>
      </c>
      <c r="I104" s="5" t="str">
        <f t="shared" si="7"/>
        <v>ANZ</v>
      </c>
      <c r="J104" s="5" t="str">
        <f t="shared" si="8"/>
        <v/>
      </c>
      <c r="K104" s="5" t="str">
        <f t="shared" si="9"/>
        <v>SEA</v>
      </c>
      <c r="S104" s="32" t="s">
        <v>2243</v>
      </c>
      <c r="T104" s="32" t="s">
        <v>1083</v>
      </c>
      <c r="U104" s="32" t="s">
        <v>481</v>
      </c>
      <c r="W104" t="s">
        <v>1553</v>
      </c>
      <c r="X104" t="s">
        <v>2423</v>
      </c>
      <c r="Y104" t="s">
        <v>503</v>
      </c>
      <c r="AA104" s="15" t="s">
        <v>1111</v>
      </c>
      <c r="AB104" s="15" t="s">
        <v>2422</v>
      </c>
      <c r="AC104" s="15" t="s">
        <v>517</v>
      </c>
      <c r="AE104" t="s">
        <v>1553</v>
      </c>
      <c r="AF104" t="s">
        <v>2424</v>
      </c>
      <c r="AG104" t="s">
        <v>2386</v>
      </c>
      <c r="AH104" t="s">
        <v>503</v>
      </c>
      <c r="AJ104" s="28" t="s">
        <v>995</v>
      </c>
      <c r="AK104" s="28" t="s">
        <v>995</v>
      </c>
      <c r="AL104" s="28" t="s">
        <v>503</v>
      </c>
      <c r="AM104" s="28"/>
      <c r="AN104" s="28" t="s">
        <v>9</v>
      </c>
      <c r="AO104" s="28"/>
      <c r="AQ104" t="s">
        <v>1029</v>
      </c>
      <c r="AR104" t="s">
        <v>1027</v>
      </c>
      <c r="AS104" t="s">
        <v>2240</v>
      </c>
      <c r="AT104" t="s">
        <v>2241</v>
      </c>
      <c r="AU104">
        <v>2014</v>
      </c>
      <c r="AV104" t="s">
        <v>2242</v>
      </c>
      <c r="AW104">
        <v>255128.076</v>
      </c>
    </row>
    <row r="105" spans="1:49" x14ac:dyDescent="0.25">
      <c r="A105" s="5" t="s">
        <v>481</v>
      </c>
      <c r="B105" s="5" t="str">
        <f>INDEX(Regions!B:B,MATCH(A105,Regions!A:A,0))</f>
        <v>Other Asia</v>
      </c>
      <c r="C105" t="s">
        <v>1285</v>
      </c>
      <c r="D105" s="5" t="s">
        <v>1286</v>
      </c>
      <c r="E105" s="5" t="s">
        <v>1287</v>
      </c>
      <c r="F105" s="5">
        <v>570</v>
      </c>
      <c r="G105" s="33">
        <f t="shared" si="5"/>
        <v>2.2055323794897433E-7</v>
      </c>
      <c r="H105" s="5" t="str">
        <f t="shared" si="6"/>
        <v>NotAccounted</v>
      </c>
      <c r="I105" s="5" t="str">
        <f t="shared" si="7"/>
        <v>ANZ</v>
      </c>
      <c r="J105" s="5" t="e">
        <f t="shared" si="8"/>
        <v>#N/A</v>
      </c>
      <c r="K105" s="5" t="str">
        <f t="shared" si="9"/>
        <v>SEA</v>
      </c>
      <c r="S105" s="32" t="s">
        <v>2264</v>
      </c>
      <c r="T105" s="32" t="s">
        <v>1381</v>
      </c>
      <c r="U105" s="32" t="s">
        <v>503</v>
      </c>
      <c r="W105" t="s">
        <v>490</v>
      </c>
      <c r="X105" t="s">
        <v>488</v>
      </c>
      <c r="Y105" t="s">
        <v>491</v>
      </c>
      <c r="AA105" s="15" t="s">
        <v>1151</v>
      </c>
      <c r="AB105" s="15" t="s">
        <v>2422</v>
      </c>
      <c r="AC105" s="15" t="s">
        <v>517</v>
      </c>
      <c r="AE105" t="s">
        <v>1574</v>
      </c>
      <c r="AF105" t="s">
        <v>2403</v>
      </c>
      <c r="AG105" t="s">
        <v>2386</v>
      </c>
      <c r="AH105" t="s">
        <v>503</v>
      </c>
      <c r="AJ105" s="28" t="s">
        <v>735</v>
      </c>
      <c r="AK105" s="28" t="s">
        <v>735</v>
      </c>
      <c r="AL105" s="28" t="s">
        <v>491</v>
      </c>
      <c r="AM105" s="28"/>
      <c r="AN105" s="28" t="s">
        <v>9</v>
      </c>
      <c r="AO105" s="28"/>
      <c r="AQ105" t="s">
        <v>1034</v>
      </c>
      <c r="AR105" t="s">
        <v>2425</v>
      </c>
      <c r="AS105" t="s">
        <v>2240</v>
      </c>
      <c r="AT105" t="s">
        <v>2241</v>
      </c>
      <c r="AU105">
        <v>2014</v>
      </c>
      <c r="AV105" t="s">
        <v>2242</v>
      </c>
      <c r="AW105">
        <v>77465.77</v>
      </c>
    </row>
    <row r="106" spans="1:49" x14ac:dyDescent="0.25">
      <c r="A106" s="5" t="s">
        <v>481</v>
      </c>
      <c r="B106" s="5" t="str">
        <f>INDEX(Regions!B:B,MATCH(A106,Regions!A:A,0))</f>
        <v>Other Asia</v>
      </c>
      <c r="C106" t="s">
        <v>1298</v>
      </c>
      <c r="D106" s="5" t="s">
        <v>1299</v>
      </c>
      <c r="E106" s="5" t="s">
        <v>1300</v>
      </c>
      <c r="F106" s="5">
        <v>586</v>
      </c>
      <c r="G106" s="33">
        <f t="shared" si="5"/>
        <v>2.6771381606473917E-2</v>
      </c>
      <c r="H106" s="5" t="str">
        <f t="shared" si="6"/>
        <v/>
      </c>
      <c r="I106" s="5" t="str">
        <f t="shared" si="7"/>
        <v/>
      </c>
      <c r="J106" s="5" t="str">
        <f t="shared" si="8"/>
        <v/>
      </c>
      <c r="K106" s="5" t="str">
        <f t="shared" si="9"/>
        <v/>
      </c>
      <c r="S106" s="32" t="s">
        <v>2426</v>
      </c>
      <c r="T106" s="32" t="s">
        <v>2427</v>
      </c>
      <c r="U106" s="32" t="s">
        <v>491</v>
      </c>
      <c r="W106" t="s">
        <v>658</v>
      </c>
      <c r="X106" t="s">
        <v>2428</v>
      </c>
      <c r="Y106" t="s">
        <v>491</v>
      </c>
      <c r="AA106" s="15" t="s">
        <v>1227</v>
      </c>
      <c r="AB106" s="15" t="s">
        <v>2422</v>
      </c>
      <c r="AC106" s="15" t="s">
        <v>517</v>
      </c>
      <c r="AE106" t="s">
        <v>677</v>
      </c>
      <c r="AF106" t="s">
        <v>2403</v>
      </c>
      <c r="AG106" t="s">
        <v>2386</v>
      </c>
      <c r="AH106" t="s">
        <v>503</v>
      </c>
      <c r="AJ106" s="28" t="s">
        <v>1029</v>
      </c>
      <c r="AK106" s="28" t="s">
        <v>1029</v>
      </c>
      <c r="AL106" s="28" t="s">
        <v>557</v>
      </c>
      <c r="AM106" s="28" t="s">
        <v>613</v>
      </c>
      <c r="AN106" s="28" t="s">
        <v>9</v>
      </c>
      <c r="AO106" s="28"/>
      <c r="AQ106" t="s">
        <v>1039</v>
      </c>
      <c r="AR106" t="s">
        <v>1037</v>
      </c>
      <c r="AS106" t="s">
        <v>2240</v>
      </c>
      <c r="AT106" t="s">
        <v>2241</v>
      </c>
      <c r="AU106">
        <v>2014</v>
      </c>
      <c r="AV106" t="s">
        <v>2242</v>
      </c>
      <c r="AW106">
        <v>34411.951000000001</v>
      </c>
    </row>
    <row r="107" spans="1:49" x14ac:dyDescent="0.25">
      <c r="A107" s="5" t="s">
        <v>481</v>
      </c>
      <c r="B107" s="5" t="str">
        <f>INDEX(Regions!B:B,MATCH(A107,Regions!A:A,0))</f>
        <v>Other Asia</v>
      </c>
      <c r="C107" t="s">
        <v>1303</v>
      </c>
      <c r="D107" s="5" t="s">
        <v>1304</v>
      </c>
      <c r="E107" s="5" t="s">
        <v>1305</v>
      </c>
      <c r="F107" s="5">
        <v>585</v>
      </c>
      <c r="G107" s="33">
        <f t="shared" si="5"/>
        <v>2.4160791622676332E-6</v>
      </c>
      <c r="H107" s="5" t="str">
        <f t="shared" si="6"/>
        <v>NotAccounted</v>
      </c>
      <c r="I107" s="5" t="str">
        <f t="shared" si="7"/>
        <v>ANZ</v>
      </c>
      <c r="J107" s="5" t="e">
        <f t="shared" si="8"/>
        <v>#N/A</v>
      </c>
      <c r="K107" s="5" t="str">
        <f t="shared" si="9"/>
        <v>SEA</v>
      </c>
      <c r="S107" s="32" t="s">
        <v>2429</v>
      </c>
      <c r="T107" s="32" t="s">
        <v>1354</v>
      </c>
      <c r="U107" s="32" t="s">
        <v>557</v>
      </c>
      <c r="W107" t="s">
        <v>1525</v>
      </c>
      <c r="X107" t="s">
        <v>1523</v>
      </c>
      <c r="Y107" t="s">
        <v>491</v>
      </c>
      <c r="AA107" s="15" t="s">
        <v>586</v>
      </c>
      <c r="AB107" s="15" t="s">
        <v>2422</v>
      </c>
      <c r="AC107" s="15" t="s">
        <v>517</v>
      </c>
      <c r="AE107" t="s">
        <v>1706</v>
      </c>
      <c r="AF107" t="s">
        <v>2403</v>
      </c>
      <c r="AG107" t="s">
        <v>2386</v>
      </c>
      <c r="AH107" t="s">
        <v>503</v>
      </c>
      <c r="AJ107" s="28" t="s">
        <v>1690</v>
      </c>
      <c r="AK107" s="28" t="s">
        <v>2396</v>
      </c>
      <c r="AL107" s="28" t="s">
        <v>491</v>
      </c>
      <c r="AM107" s="28"/>
      <c r="AN107" s="28" t="s">
        <v>9</v>
      </c>
      <c r="AO107" s="28"/>
      <c r="AQ107" t="s">
        <v>742</v>
      </c>
      <c r="AR107" t="s">
        <v>743</v>
      </c>
      <c r="AS107" t="s">
        <v>2240</v>
      </c>
      <c r="AT107" t="s">
        <v>2241</v>
      </c>
      <c r="AU107">
        <v>2014</v>
      </c>
      <c r="AV107" t="s">
        <v>2242</v>
      </c>
      <c r="AW107">
        <v>4626.8440000000001</v>
      </c>
    </row>
    <row r="108" spans="1:49" x14ac:dyDescent="0.25">
      <c r="A108" s="5" t="s">
        <v>481</v>
      </c>
      <c r="B108" s="5" t="str">
        <f>INDEX(Regions!B:B,MATCH(A108,Regions!A:A,0))</f>
        <v>Other Asia</v>
      </c>
      <c r="C108" t="s">
        <v>1320</v>
      </c>
      <c r="D108" s="5" t="s">
        <v>1321</v>
      </c>
      <c r="E108" s="5" t="s">
        <v>1322</v>
      </c>
      <c r="F108" s="5">
        <v>598</v>
      </c>
      <c r="G108" s="33">
        <f t="shared" si="5"/>
        <v>1.0892958561878514E-3</v>
      </c>
      <c r="H108" s="5" t="str">
        <f t="shared" si="6"/>
        <v/>
      </c>
      <c r="I108" s="5" t="str">
        <f t="shared" si="7"/>
        <v>SEA</v>
      </c>
      <c r="J108" s="5" t="e">
        <f t="shared" si="8"/>
        <v>#N/A</v>
      </c>
      <c r="K108" s="5" t="str">
        <f t="shared" si="9"/>
        <v>SEA</v>
      </c>
      <c r="S108" s="32" t="s">
        <v>2253</v>
      </c>
      <c r="T108" s="32" t="s">
        <v>1088</v>
      </c>
      <c r="U108" s="32" t="s">
        <v>500</v>
      </c>
      <c r="W108" t="s">
        <v>1212</v>
      </c>
      <c r="X108" t="s">
        <v>2430</v>
      </c>
      <c r="Y108" t="s">
        <v>491</v>
      </c>
      <c r="AA108" s="15" t="s">
        <v>1464</v>
      </c>
      <c r="AB108" s="15" t="s">
        <v>1462</v>
      </c>
      <c r="AC108" s="15" t="s">
        <v>517</v>
      </c>
      <c r="AE108" t="s">
        <v>570</v>
      </c>
      <c r="AF108" t="s">
        <v>2431</v>
      </c>
      <c r="AG108" t="s">
        <v>2432</v>
      </c>
      <c r="AH108" t="s">
        <v>491</v>
      </c>
      <c r="AJ108" s="28" t="s">
        <v>550</v>
      </c>
      <c r="AK108" s="28" t="s">
        <v>550</v>
      </c>
      <c r="AL108" s="28" t="s">
        <v>550</v>
      </c>
      <c r="AM108" s="28" t="s">
        <v>613</v>
      </c>
      <c r="AN108" s="28" t="s">
        <v>9</v>
      </c>
      <c r="AO108" s="28"/>
      <c r="AQ108" t="s">
        <v>1690</v>
      </c>
      <c r="AR108" t="s">
        <v>1688</v>
      </c>
      <c r="AS108" t="s">
        <v>2240</v>
      </c>
      <c r="AT108" t="s">
        <v>2241</v>
      </c>
      <c r="AU108">
        <v>2014</v>
      </c>
      <c r="AV108" t="s">
        <v>2242</v>
      </c>
      <c r="AW108">
        <v>83.488</v>
      </c>
    </row>
    <row r="109" spans="1:49" x14ac:dyDescent="0.25">
      <c r="A109" s="5" t="s">
        <v>481</v>
      </c>
      <c r="B109" s="5" t="str">
        <f>INDEX(Regions!B:B,MATCH(A109,Regions!A:A,0))</f>
        <v>Other Asia</v>
      </c>
      <c r="C109" t="s">
        <v>1397</v>
      </c>
      <c r="D109" s="5" t="s">
        <v>1398</v>
      </c>
      <c r="E109" s="5" t="s">
        <v>1399</v>
      </c>
      <c r="F109" s="5">
        <v>882</v>
      </c>
      <c r="G109" s="33">
        <f t="shared" si="5"/>
        <v>2.6348641362206216E-5</v>
      </c>
      <c r="H109" s="5" t="str">
        <f t="shared" si="6"/>
        <v/>
      </c>
      <c r="I109" s="5" t="str">
        <f t="shared" si="7"/>
        <v>ANZ</v>
      </c>
      <c r="J109" s="5" t="str">
        <f t="shared" si="8"/>
        <v/>
      </c>
      <c r="K109" s="5" t="str">
        <f t="shared" si="9"/>
        <v>SEA</v>
      </c>
      <c r="S109" s="32" t="s">
        <v>2243</v>
      </c>
      <c r="T109" s="32" t="s">
        <v>1098</v>
      </c>
      <c r="U109" s="32" t="s">
        <v>481</v>
      </c>
      <c r="W109" t="s">
        <v>1425</v>
      </c>
      <c r="X109" t="s">
        <v>2430</v>
      </c>
      <c r="Y109" t="s">
        <v>491</v>
      </c>
      <c r="AA109" s="15" t="s">
        <v>1495</v>
      </c>
      <c r="AB109" s="15" t="s">
        <v>2422</v>
      </c>
      <c r="AC109" s="15" t="s">
        <v>517</v>
      </c>
      <c r="AE109" t="s">
        <v>624</v>
      </c>
      <c r="AF109" t="s">
        <v>2433</v>
      </c>
      <c r="AG109" t="s">
        <v>2432</v>
      </c>
      <c r="AH109" t="s">
        <v>491</v>
      </c>
      <c r="AJ109" s="28" t="s">
        <v>2434</v>
      </c>
      <c r="AK109" s="28" t="s">
        <v>2276</v>
      </c>
      <c r="AL109" s="28" t="s">
        <v>517</v>
      </c>
      <c r="AM109" s="28"/>
      <c r="AN109" s="28" t="s">
        <v>9</v>
      </c>
      <c r="AO109" s="28" t="s">
        <v>2435</v>
      </c>
      <c r="AQ109" t="s">
        <v>1047</v>
      </c>
      <c r="AR109" t="s">
        <v>1045</v>
      </c>
      <c r="AS109" t="s">
        <v>2240</v>
      </c>
      <c r="AT109" t="s">
        <v>2241</v>
      </c>
      <c r="AU109">
        <v>2014</v>
      </c>
      <c r="AV109" t="s">
        <v>2242</v>
      </c>
      <c r="AW109">
        <v>7854.2129999999997</v>
      </c>
    </row>
    <row r="110" spans="1:49" x14ac:dyDescent="0.25">
      <c r="A110" s="5" t="s">
        <v>481</v>
      </c>
      <c r="B110" s="5" t="str">
        <f>INDEX(Regions!B:B,MATCH(A110,Regions!A:A,0))</f>
        <v>Other Asia</v>
      </c>
      <c r="C110" t="s">
        <v>1451</v>
      </c>
      <c r="D110" s="5" t="s">
        <v>1452</v>
      </c>
      <c r="E110" s="5" t="s">
        <v>1453</v>
      </c>
      <c r="F110" s="5">
        <v>90</v>
      </c>
      <c r="G110" s="33">
        <f t="shared" si="5"/>
        <v>8.04736944573312E-5</v>
      </c>
      <c r="H110" s="5" t="str">
        <f t="shared" si="6"/>
        <v/>
      </c>
      <c r="I110" s="5" t="str">
        <f t="shared" si="7"/>
        <v>ANZ</v>
      </c>
      <c r="J110" s="5" t="str">
        <f t="shared" si="8"/>
        <v/>
      </c>
      <c r="K110" s="5" t="str">
        <f t="shared" si="9"/>
        <v>SEA</v>
      </c>
      <c r="S110" s="32" t="s">
        <v>2253</v>
      </c>
      <c r="T110" s="32" t="s">
        <v>1106</v>
      </c>
      <c r="U110" s="32" t="s">
        <v>500</v>
      </c>
      <c r="W110" t="s">
        <v>1674</v>
      </c>
      <c r="X110" t="s">
        <v>1672</v>
      </c>
      <c r="Y110" t="s">
        <v>491</v>
      </c>
      <c r="AA110" s="15" t="s">
        <v>1606</v>
      </c>
      <c r="AB110" s="15" t="s">
        <v>2422</v>
      </c>
      <c r="AC110" s="15" t="s">
        <v>517</v>
      </c>
      <c r="AE110" t="s">
        <v>668</v>
      </c>
      <c r="AF110" t="s">
        <v>2436</v>
      </c>
      <c r="AG110" t="s">
        <v>2437</v>
      </c>
      <c r="AH110" t="s">
        <v>491</v>
      </c>
      <c r="AJ110" s="28" t="s">
        <v>742</v>
      </c>
      <c r="AK110" s="28" t="s">
        <v>742</v>
      </c>
      <c r="AL110" s="28" t="s">
        <v>491</v>
      </c>
      <c r="AM110" s="28"/>
      <c r="AN110" s="28" t="s">
        <v>9</v>
      </c>
      <c r="AO110" s="28"/>
      <c r="AQ110" t="s">
        <v>749</v>
      </c>
      <c r="AR110" t="s">
        <v>750</v>
      </c>
      <c r="AS110" t="s">
        <v>2240</v>
      </c>
      <c r="AT110" t="s">
        <v>2241</v>
      </c>
      <c r="AU110">
        <v>2014</v>
      </c>
      <c r="AV110" t="s">
        <v>2242</v>
      </c>
      <c r="AW110">
        <v>60409.62</v>
      </c>
    </row>
    <row r="111" spans="1:49" x14ac:dyDescent="0.25">
      <c r="A111" s="5" t="s">
        <v>481</v>
      </c>
      <c r="B111" s="5" t="str">
        <f>INDEX(Regions!B:B,MATCH(A111,Regions!A:A,0))</f>
        <v>Other Asia</v>
      </c>
      <c r="C111" t="s">
        <v>1470</v>
      </c>
      <c r="D111" s="5" t="s">
        <v>1471</v>
      </c>
      <c r="E111" s="5" t="s">
        <v>1472</v>
      </c>
      <c r="F111" s="5">
        <v>144</v>
      </c>
      <c r="G111" s="33">
        <f t="shared" si="5"/>
        <v>2.8495794985630022E-3</v>
      </c>
      <c r="H111" s="5" t="str">
        <f t="shared" si="6"/>
        <v/>
      </c>
      <c r="I111" s="5" t="str">
        <f t="shared" si="7"/>
        <v/>
      </c>
      <c r="J111" s="5" t="str">
        <f t="shared" si="8"/>
        <v/>
      </c>
      <c r="K111" s="5" t="str">
        <f t="shared" si="9"/>
        <v/>
      </c>
      <c r="S111" s="32" t="s">
        <v>2246</v>
      </c>
      <c r="T111" s="32" t="s">
        <v>1117</v>
      </c>
      <c r="U111" s="32" t="s">
        <v>517</v>
      </c>
      <c r="W111" t="s">
        <v>1020</v>
      </c>
      <c r="X111" t="s">
        <v>1018</v>
      </c>
      <c r="Y111" t="s">
        <v>491</v>
      </c>
      <c r="AA111" s="15" t="s">
        <v>1647</v>
      </c>
      <c r="AB111" s="15" t="s">
        <v>2422</v>
      </c>
      <c r="AC111" s="15" t="s">
        <v>517</v>
      </c>
      <c r="AE111" t="s">
        <v>673</v>
      </c>
      <c r="AF111" t="s">
        <v>2438</v>
      </c>
      <c r="AG111" t="s">
        <v>2437</v>
      </c>
      <c r="AH111" t="s">
        <v>491</v>
      </c>
      <c r="AJ111" s="28" t="s">
        <v>1034</v>
      </c>
      <c r="AK111" s="28" t="s">
        <v>1034</v>
      </c>
      <c r="AL111" s="28" t="s">
        <v>500</v>
      </c>
      <c r="AM111" s="28" t="s">
        <v>605</v>
      </c>
      <c r="AN111" s="28" t="s">
        <v>9</v>
      </c>
      <c r="AO111" s="28"/>
      <c r="AQ111" t="s">
        <v>1056</v>
      </c>
      <c r="AR111" t="s">
        <v>1054</v>
      </c>
      <c r="AS111" t="s">
        <v>2240</v>
      </c>
      <c r="AT111" t="s">
        <v>2241</v>
      </c>
      <c r="AU111">
        <v>2014</v>
      </c>
      <c r="AV111" t="s">
        <v>2242</v>
      </c>
      <c r="AW111">
        <v>2875.1390000000001</v>
      </c>
    </row>
    <row r="112" spans="1:49" x14ac:dyDescent="0.25">
      <c r="A112" s="5" t="s">
        <v>481</v>
      </c>
      <c r="B112" s="5" t="str">
        <f>INDEX(Regions!B:B,MATCH(A112,Regions!A:A,0))</f>
        <v>Other Asia</v>
      </c>
      <c r="C112" t="s">
        <v>1540</v>
      </c>
      <c r="D112" s="5" t="s">
        <v>1541</v>
      </c>
      <c r="E112" s="5" t="s">
        <v>1542</v>
      </c>
      <c r="F112" s="5">
        <v>772</v>
      </c>
      <c r="G112" s="33">
        <f t="shared" si="5"/>
        <v>1.6709409388427579E-7</v>
      </c>
      <c r="H112" s="5" t="str">
        <f t="shared" si="6"/>
        <v>NotAccounted</v>
      </c>
      <c r="I112" s="5" t="str">
        <f t="shared" si="7"/>
        <v>ANZ</v>
      </c>
      <c r="J112" s="5" t="e">
        <f t="shared" si="8"/>
        <v>#N/A</v>
      </c>
      <c r="K112" s="5" t="str">
        <f t="shared" si="9"/>
        <v>SEA</v>
      </c>
      <c r="S112" s="32" t="e">
        <v>#N/A</v>
      </c>
      <c r="T112" s="32" t="s">
        <v>1122</v>
      </c>
      <c r="U112" s="32" t="e">
        <v>#N/A</v>
      </c>
      <c r="W112" t="s">
        <v>847</v>
      </c>
      <c r="X112" t="s">
        <v>848</v>
      </c>
      <c r="Y112" t="s">
        <v>491</v>
      </c>
      <c r="AA112" s="15" t="s">
        <v>1652</v>
      </c>
      <c r="AB112" s="15" t="s">
        <v>2422</v>
      </c>
      <c r="AC112" s="15" t="s">
        <v>517</v>
      </c>
      <c r="AE112" t="s">
        <v>687</v>
      </c>
      <c r="AF112" t="s">
        <v>2439</v>
      </c>
      <c r="AG112" t="s">
        <v>2432</v>
      </c>
      <c r="AH112" t="s">
        <v>491</v>
      </c>
      <c r="AJ112" s="28" t="s">
        <v>1039</v>
      </c>
      <c r="AK112" s="28" t="s">
        <v>1039</v>
      </c>
      <c r="AL112" s="28" t="s">
        <v>500</v>
      </c>
      <c r="AM112" s="28" t="s">
        <v>605</v>
      </c>
      <c r="AN112" s="28" t="s">
        <v>9</v>
      </c>
      <c r="AO112" s="28"/>
      <c r="AQ112" t="s">
        <v>1061</v>
      </c>
      <c r="AR112" t="s">
        <v>1059</v>
      </c>
      <c r="AS112" t="s">
        <v>2240</v>
      </c>
      <c r="AT112" t="s">
        <v>2241</v>
      </c>
      <c r="AU112">
        <v>2014</v>
      </c>
      <c r="AV112" t="s">
        <v>2242</v>
      </c>
      <c r="AW112">
        <v>128168.639</v>
      </c>
    </row>
    <row r="113" spans="1:49" x14ac:dyDescent="0.25">
      <c r="A113" s="5" t="s">
        <v>481</v>
      </c>
      <c r="B113" s="5" t="str">
        <f>INDEX(Regions!B:B,MATCH(A113,Regions!A:A,0))</f>
        <v>Other Asia</v>
      </c>
      <c r="C113" t="s">
        <v>1545</v>
      </c>
      <c r="D113" s="5" t="s">
        <v>1546</v>
      </c>
      <c r="E113" s="5" t="s">
        <v>1547</v>
      </c>
      <c r="F113" s="5">
        <v>776</v>
      </c>
      <c r="G113" s="33">
        <f t="shared" si="5"/>
        <v>1.3848385657867608E-5</v>
      </c>
      <c r="H113" s="5" t="str">
        <f t="shared" si="6"/>
        <v>NotAccounted</v>
      </c>
      <c r="I113" s="5" t="str">
        <f t="shared" si="7"/>
        <v>ANZ</v>
      </c>
      <c r="J113" s="5" t="e">
        <f t="shared" si="8"/>
        <v>#N/A</v>
      </c>
      <c r="K113" s="5" t="str">
        <f t="shared" si="9"/>
        <v>SEA</v>
      </c>
      <c r="S113" s="32" t="s">
        <v>2264</v>
      </c>
      <c r="T113" s="32" t="s">
        <v>1388</v>
      </c>
      <c r="U113" s="32" t="s">
        <v>503</v>
      </c>
      <c r="W113" t="s">
        <v>1503</v>
      </c>
      <c r="X113" t="s">
        <v>1501</v>
      </c>
      <c r="Y113" t="s">
        <v>491</v>
      </c>
      <c r="AA113" s="15" t="s">
        <v>508</v>
      </c>
      <c r="AB113" s="15" t="s">
        <v>2440</v>
      </c>
      <c r="AC113" s="15" t="s">
        <v>491</v>
      </c>
      <c r="AE113" t="s">
        <v>701</v>
      </c>
      <c r="AF113" t="s">
        <v>2441</v>
      </c>
      <c r="AG113" t="s">
        <v>2437</v>
      </c>
      <c r="AH113" t="s">
        <v>491</v>
      </c>
      <c r="AJ113" s="28" t="s">
        <v>1020</v>
      </c>
      <c r="AK113" s="28" t="s">
        <v>1020</v>
      </c>
      <c r="AL113" s="28" t="s">
        <v>491</v>
      </c>
      <c r="AM113" s="28"/>
      <c r="AN113" s="28" t="s">
        <v>9</v>
      </c>
      <c r="AO113" s="28"/>
      <c r="AQ113" t="s">
        <v>1067</v>
      </c>
      <c r="AR113" t="s">
        <v>1065</v>
      </c>
      <c r="AS113" t="s">
        <v>2240</v>
      </c>
      <c r="AT113" t="s">
        <v>2241</v>
      </c>
      <c r="AU113">
        <v>2014</v>
      </c>
      <c r="AV113" t="s">
        <v>2242</v>
      </c>
      <c r="AW113">
        <v>8918.8279999999995</v>
      </c>
    </row>
    <row r="114" spans="1:49" x14ac:dyDescent="0.25">
      <c r="A114" s="5" t="s">
        <v>481</v>
      </c>
      <c r="B114" s="5" t="str">
        <f>INDEX(Regions!B:B,MATCH(A114,Regions!A:A,0))</f>
        <v>Other Asia</v>
      </c>
      <c r="C114" t="s">
        <v>1578</v>
      </c>
      <c r="D114" s="5" t="s">
        <v>1579</v>
      </c>
      <c r="E114" s="5" t="s">
        <v>1580</v>
      </c>
      <c r="F114" s="5">
        <v>798</v>
      </c>
      <c r="G114" s="33">
        <f t="shared" si="5"/>
        <v>1.503983919686853E-6</v>
      </c>
      <c r="H114" s="5" t="str">
        <f t="shared" si="6"/>
        <v>NotAccounted</v>
      </c>
      <c r="I114" s="5" t="str">
        <f t="shared" si="7"/>
        <v>ANZ</v>
      </c>
      <c r="J114" s="5" t="e">
        <f t="shared" si="8"/>
        <v>#N/A</v>
      </c>
      <c r="K114" s="5" t="str">
        <f t="shared" si="9"/>
        <v>SEA</v>
      </c>
      <c r="S114" s="32" t="s">
        <v>2288</v>
      </c>
      <c r="T114" s="32" t="s">
        <v>1472</v>
      </c>
      <c r="U114" s="32" t="s">
        <v>481</v>
      </c>
      <c r="W114" t="s">
        <v>653</v>
      </c>
      <c r="X114" t="s">
        <v>651</v>
      </c>
      <c r="Y114" t="s">
        <v>503</v>
      </c>
      <c r="AA114" s="15" t="s">
        <v>570</v>
      </c>
      <c r="AB114" s="15" t="s">
        <v>2440</v>
      </c>
      <c r="AC114" s="15" t="s">
        <v>491</v>
      </c>
      <c r="AE114" t="s">
        <v>2255</v>
      </c>
      <c r="AF114" t="s">
        <v>2442</v>
      </c>
      <c r="AG114" t="s">
        <v>2432</v>
      </c>
      <c r="AH114" t="s">
        <v>491</v>
      </c>
      <c r="AJ114" s="28" t="s">
        <v>1047</v>
      </c>
      <c r="AK114" s="28" t="s">
        <v>1047</v>
      </c>
      <c r="AL114" s="28" t="s">
        <v>500</v>
      </c>
      <c r="AM114" s="28" t="s">
        <v>605</v>
      </c>
      <c r="AN114" s="28" t="s">
        <v>9</v>
      </c>
      <c r="AO114" s="28"/>
      <c r="AQ114" t="s">
        <v>1072</v>
      </c>
      <c r="AR114" t="s">
        <v>1070</v>
      </c>
      <c r="AS114" t="s">
        <v>2240</v>
      </c>
      <c r="AT114" t="s">
        <v>2241</v>
      </c>
      <c r="AU114">
        <v>2014</v>
      </c>
      <c r="AV114" t="s">
        <v>2242</v>
      </c>
      <c r="AW114">
        <v>17302.615000000002</v>
      </c>
    </row>
    <row r="115" spans="1:49" x14ac:dyDescent="0.25">
      <c r="A115" s="5" t="s">
        <v>481</v>
      </c>
      <c r="B115" s="5" t="str">
        <f>INDEX(Regions!B:B,MATCH(A115,Regions!A:A,0))</f>
        <v>Other Asia</v>
      </c>
      <c r="C115" t="s">
        <v>1624</v>
      </c>
      <c r="D115" s="5" t="s">
        <v>1625</v>
      </c>
      <c r="E115" s="5" t="s">
        <v>1626</v>
      </c>
      <c r="F115" s="5">
        <v>548</v>
      </c>
      <c r="G115" s="33">
        <f t="shared" si="5"/>
        <v>3.6172375920372242E-5</v>
      </c>
      <c r="H115" s="5" t="str">
        <f t="shared" si="6"/>
        <v/>
      </c>
      <c r="I115" s="5" t="str">
        <f t="shared" si="7"/>
        <v>ANZ</v>
      </c>
      <c r="J115" s="5" t="str">
        <f t="shared" si="8"/>
        <v/>
      </c>
      <c r="K115" s="5" t="str">
        <f t="shared" si="9"/>
        <v>SEA</v>
      </c>
      <c r="S115" s="32" t="s">
        <v>2246</v>
      </c>
      <c r="T115" s="32" t="s">
        <v>1111</v>
      </c>
      <c r="U115" s="32" t="s">
        <v>517</v>
      </c>
      <c r="W115" t="s">
        <v>760</v>
      </c>
      <c r="X115" t="s">
        <v>758</v>
      </c>
      <c r="Y115" t="s">
        <v>503</v>
      </c>
      <c r="AA115" s="15" t="s">
        <v>624</v>
      </c>
      <c r="AB115" s="15" t="s">
        <v>2440</v>
      </c>
      <c r="AC115" s="15" t="s">
        <v>491</v>
      </c>
      <c r="AE115" t="s">
        <v>708</v>
      </c>
      <c r="AF115" t="s">
        <v>2442</v>
      </c>
      <c r="AG115" t="s">
        <v>2432</v>
      </c>
      <c r="AH115" t="s">
        <v>491</v>
      </c>
      <c r="AJ115" s="28" t="s">
        <v>749</v>
      </c>
      <c r="AK115" s="28" t="s">
        <v>2443</v>
      </c>
      <c r="AL115" s="28" t="s">
        <v>491</v>
      </c>
      <c r="AM115" s="28"/>
      <c r="AN115" s="28" t="s">
        <v>9</v>
      </c>
      <c r="AO115" s="28"/>
      <c r="AQ115" t="s">
        <v>1077</v>
      </c>
      <c r="AR115" t="s">
        <v>1075</v>
      </c>
      <c r="AS115" t="s">
        <v>2240</v>
      </c>
      <c r="AT115" t="s">
        <v>2241</v>
      </c>
      <c r="AU115">
        <v>2014</v>
      </c>
      <c r="AV115" t="s">
        <v>2242</v>
      </c>
      <c r="AW115">
        <v>46700.055</v>
      </c>
    </row>
    <row r="116" spans="1:49" x14ac:dyDescent="0.25">
      <c r="A116" s="5" t="s">
        <v>503</v>
      </c>
      <c r="B116" s="5" t="str">
        <f>INDEX(Regions!B:B,MATCH(A116,Regions!A:A,0))</f>
        <v>Other S&amp;C America</v>
      </c>
      <c r="C116" t="s">
        <v>522</v>
      </c>
      <c r="D116" s="5" t="s">
        <v>523</v>
      </c>
      <c r="E116" s="5" t="s">
        <v>524</v>
      </c>
      <c r="F116" s="5">
        <v>660</v>
      </c>
      <c r="G116" s="33">
        <f t="shared" si="5"/>
        <v>1.9343985667718619E-6</v>
      </c>
      <c r="H116" s="5" t="str">
        <f t="shared" si="6"/>
        <v>NotAccounted</v>
      </c>
      <c r="I116" s="5" t="str">
        <f t="shared" si="7"/>
        <v/>
      </c>
      <c r="J116" s="5" t="e">
        <f t="shared" si="8"/>
        <v>#N/A</v>
      </c>
      <c r="K116" s="5" t="str">
        <f t="shared" si="9"/>
        <v/>
      </c>
      <c r="S116" s="32" t="s">
        <v>2444</v>
      </c>
      <c r="T116" s="32" t="s">
        <v>756</v>
      </c>
      <c r="U116" s="32" t="s">
        <v>491</v>
      </c>
      <c r="W116" t="s">
        <v>772</v>
      </c>
      <c r="X116" t="s">
        <v>770</v>
      </c>
      <c r="Y116" t="s">
        <v>503</v>
      </c>
      <c r="AA116" s="15" t="s">
        <v>687</v>
      </c>
      <c r="AB116" s="15" t="s">
        <v>2440</v>
      </c>
      <c r="AC116" s="15" t="s">
        <v>491</v>
      </c>
      <c r="AE116" t="s">
        <v>715</v>
      </c>
      <c r="AF116" t="s">
        <v>2445</v>
      </c>
      <c r="AG116" t="s">
        <v>2432</v>
      </c>
      <c r="AH116" t="s">
        <v>491</v>
      </c>
      <c r="AJ116" s="28" t="s">
        <v>1056</v>
      </c>
      <c r="AK116" s="28" t="s">
        <v>1056</v>
      </c>
      <c r="AL116" s="28" t="s">
        <v>503</v>
      </c>
      <c r="AM116" s="28"/>
      <c r="AN116" s="28" t="s">
        <v>9</v>
      </c>
      <c r="AO116" s="28"/>
      <c r="AQ116" t="s">
        <v>1083</v>
      </c>
      <c r="AR116" t="s">
        <v>1081</v>
      </c>
      <c r="AS116" t="s">
        <v>2240</v>
      </c>
      <c r="AT116" t="s">
        <v>2241</v>
      </c>
      <c r="AU116">
        <v>2014</v>
      </c>
      <c r="AV116" t="s">
        <v>2242</v>
      </c>
      <c r="AW116">
        <v>109.39100000000001</v>
      </c>
    </row>
    <row r="117" spans="1:49" x14ac:dyDescent="0.25">
      <c r="A117" s="5" t="s">
        <v>503</v>
      </c>
      <c r="B117" s="5" t="str">
        <f>INDEX(Regions!B:B,MATCH(A117,Regions!A:A,0))</f>
        <v>Other S&amp;C America</v>
      </c>
      <c r="C117" t="s">
        <v>529</v>
      </c>
      <c r="D117" s="5" t="s">
        <v>530</v>
      </c>
      <c r="E117" s="5" t="s">
        <v>531</v>
      </c>
      <c r="F117" s="5">
        <v>28</v>
      </c>
      <c r="G117" s="33">
        <f t="shared" si="5"/>
        <v>1.2687911007478535E-5</v>
      </c>
      <c r="H117" s="5" t="str">
        <f t="shared" si="6"/>
        <v>NotAccounted</v>
      </c>
      <c r="I117" s="5" t="str">
        <f t="shared" si="7"/>
        <v/>
      </c>
      <c r="J117" s="5" t="str">
        <f t="shared" si="8"/>
        <v/>
      </c>
      <c r="K117" s="5" t="str">
        <f t="shared" si="9"/>
        <v/>
      </c>
      <c r="S117" s="32" t="s">
        <v>2274</v>
      </c>
      <c r="T117" s="32" t="s">
        <v>763</v>
      </c>
      <c r="U117" s="32" t="s">
        <v>491</v>
      </c>
      <c r="W117" t="s">
        <v>874</v>
      </c>
      <c r="X117" t="s">
        <v>872</v>
      </c>
      <c r="Y117" t="s">
        <v>503</v>
      </c>
      <c r="AA117" s="15" t="s">
        <v>2364</v>
      </c>
      <c r="AB117" s="15" t="s">
        <v>2440</v>
      </c>
      <c r="AC117" s="15" t="s">
        <v>491</v>
      </c>
      <c r="AE117" t="s">
        <v>969</v>
      </c>
      <c r="AF117" t="s">
        <v>2445</v>
      </c>
      <c r="AG117" t="s">
        <v>2432</v>
      </c>
      <c r="AH117" t="s">
        <v>491</v>
      </c>
      <c r="AJ117" s="28" t="s">
        <v>1695</v>
      </c>
      <c r="AK117" s="28" t="s">
        <v>2396</v>
      </c>
      <c r="AL117" s="28" t="s">
        <v>491</v>
      </c>
      <c r="AM117" s="28"/>
      <c r="AN117" s="28" t="s">
        <v>9</v>
      </c>
      <c r="AO117" s="28"/>
      <c r="AQ117" t="s">
        <v>1088</v>
      </c>
      <c r="AR117" t="s">
        <v>1086</v>
      </c>
      <c r="AS117" t="s">
        <v>2240</v>
      </c>
      <c r="AT117" t="s">
        <v>2241</v>
      </c>
      <c r="AU117">
        <v>2014</v>
      </c>
      <c r="AV117" t="s">
        <v>2242</v>
      </c>
      <c r="AW117">
        <v>3690.9409999999998</v>
      </c>
    </row>
    <row r="118" spans="1:49" x14ac:dyDescent="0.25">
      <c r="A118" s="5" t="s">
        <v>503</v>
      </c>
      <c r="B118" s="5" t="str">
        <f>INDEX(Regions!B:B,MATCH(A118,Regions!A:A,0))</f>
        <v>Other S&amp;C America</v>
      </c>
      <c r="C118" t="s">
        <v>537</v>
      </c>
      <c r="D118" s="5" t="s">
        <v>538</v>
      </c>
      <c r="E118" s="5" t="s">
        <v>539</v>
      </c>
      <c r="F118" s="5">
        <v>32</v>
      </c>
      <c r="G118" s="33">
        <f t="shared" si="5"/>
        <v>5.8445252387414612E-3</v>
      </c>
      <c r="H118" s="5" t="str">
        <f t="shared" si="6"/>
        <v/>
      </c>
      <c r="I118" s="5" t="str">
        <f t="shared" si="7"/>
        <v/>
      </c>
      <c r="J118" s="5" t="str">
        <f t="shared" si="8"/>
        <v/>
      </c>
      <c r="K118" s="5" t="str">
        <f t="shared" si="9"/>
        <v/>
      </c>
      <c r="S118" s="32" t="s">
        <v>2446</v>
      </c>
      <c r="T118" s="32" t="s">
        <v>768</v>
      </c>
      <c r="U118" s="32" t="s">
        <v>491</v>
      </c>
      <c r="W118" t="s">
        <v>908</v>
      </c>
      <c r="X118" t="s">
        <v>2447</v>
      </c>
      <c r="Y118" t="s">
        <v>503</v>
      </c>
      <c r="AA118" s="15" t="s">
        <v>708</v>
      </c>
      <c r="AB118" s="15" t="s">
        <v>2440</v>
      </c>
      <c r="AC118" s="15" t="s">
        <v>491</v>
      </c>
      <c r="AE118" t="s">
        <v>990</v>
      </c>
      <c r="AF118" t="s">
        <v>2380</v>
      </c>
      <c r="AG118" t="s">
        <v>2360</v>
      </c>
      <c r="AH118" t="s">
        <v>503</v>
      </c>
      <c r="AJ118" s="28" t="s">
        <v>1067</v>
      </c>
      <c r="AK118" s="28" t="s">
        <v>1067</v>
      </c>
      <c r="AL118" s="28" t="s">
        <v>500</v>
      </c>
      <c r="AM118" s="28" t="s">
        <v>605</v>
      </c>
      <c r="AN118" s="28" t="s">
        <v>9</v>
      </c>
      <c r="AO118" s="28"/>
      <c r="AQ118" t="s">
        <v>1093</v>
      </c>
      <c r="AR118" t="s">
        <v>1091</v>
      </c>
      <c r="AS118" t="s">
        <v>2240</v>
      </c>
      <c r="AT118" t="s">
        <v>2241</v>
      </c>
      <c r="AU118">
        <v>2014</v>
      </c>
      <c r="AV118" t="s">
        <v>2242</v>
      </c>
      <c r="AW118">
        <v>5844.5320000000002</v>
      </c>
    </row>
    <row r="119" spans="1:49" x14ac:dyDescent="0.25">
      <c r="A119" s="5" t="s">
        <v>503</v>
      </c>
      <c r="B119" s="5" t="str">
        <f>INDEX(Regions!B:B,MATCH(A119,Regions!A:A,0))</f>
        <v>Other S&amp;C America</v>
      </c>
      <c r="C119" t="s">
        <v>552</v>
      </c>
      <c r="D119" s="5" t="s">
        <v>553</v>
      </c>
      <c r="E119" s="5" t="s">
        <v>554</v>
      </c>
      <c r="F119" s="5">
        <v>533</v>
      </c>
      <c r="G119" s="33">
        <f t="shared" si="5"/>
        <v>1.4224792861974433E-5</v>
      </c>
      <c r="H119" s="5" t="str">
        <f t="shared" si="6"/>
        <v>NotAccounted</v>
      </c>
      <c r="I119" s="5" t="str">
        <f t="shared" si="7"/>
        <v/>
      </c>
      <c r="J119" s="5" t="e">
        <f t="shared" si="8"/>
        <v>#N/A</v>
      </c>
      <c r="K119" s="5" t="str">
        <f t="shared" si="9"/>
        <v/>
      </c>
      <c r="S119" s="32" t="s">
        <v>2372</v>
      </c>
      <c r="T119" s="32" t="s">
        <v>1222</v>
      </c>
      <c r="U119" s="32" t="s">
        <v>500</v>
      </c>
      <c r="W119" t="s">
        <v>1657</v>
      </c>
      <c r="X119" t="s">
        <v>2448</v>
      </c>
      <c r="Y119" t="s">
        <v>503</v>
      </c>
      <c r="AA119" s="15" t="s">
        <v>715</v>
      </c>
      <c r="AB119" s="15" t="s">
        <v>2440</v>
      </c>
      <c r="AC119" s="15" t="s">
        <v>491</v>
      </c>
      <c r="AE119" t="s">
        <v>2286</v>
      </c>
      <c r="AF119" t="s">
        <v>2445</v>
      </c>
      <c r="AG119" t="s">
        <v>2432</v>
      </c>
      <c r="AH119" t="s">
        <v>491</v>
      </c>
      <c r="AJ119" s="28" t="s">
        <v>1061</v>
      </c>
      <c r="AK119" s="28" t="s">
        <v>1061</v>
      </c>
      <c r="AL119" s="28" t="s">
        <v>557</v>
      </c>
      <c r="AM119" s="28" t="s">
        <v>613</v>
      </c>
      <c r="AN119" s="28" t="s">
        <v>9</v>
      </c>
      <c r="AO119" s="28"/>
      <c r="AQ119" t="s">
        <v>1098</v>
      </c>
      <c r="AR119" t="s">
        <v>2449</v>
      </c>
      <c r="AS119" t="s">
        <v>2240</v>
      </c>
      <c r="AT119" t="s">
        <v>2241</v>
      </c>
      <c r="AU119">
        <v>2014</v>
      </c>
      <c r="AV119" t="s">
        <v>2242</v>
      </c>
      <c r="AW119">
        <v>6639.7560000000003</v>
      </c>
    </row>
    <row r="120" spans="1:49" x14ac:dyDescent="0.25">
      <c r="A120" s="5" t="s">
        <v>503</v>
      </c>
      <c r="B120" s="5" t="str">
        <f>INDEX(Regions!B:B,MATCH(A120,Regions!A:A,0))</f>
        <v>Other S&amp;C America</v>
      </c>
      <c r="C120" t="s">
        <v>581</v>
      </c>
      <c r="D120" s="5" t="s">
        <v>582</v>
      </c>
      <c r="E120" s="5" t="s">
        <v>583</v>
      </c>
      <c r="F120" s="5">
        <v>44</v>
      </c>
      <c r="G120" s="33">
        <f t="shared" si="5"/>
        <v>5.0804417800336981E-5</v>
      </c>
      <c r="H120" s="5" t="str">
        <f t="shared" si="6"/>
        <v/>
      </c>
      <c r="I120" s="5" t="str">
        <f t="shared" si="7"/>
        <v/>
      </c>
      <c r="J120" s="5" t="str">
        <f t="shared" si="8"/>
        <v/>
      </c>
      <c r="K120" s="5" t="str">
        <f t="shared" si="9"/>
        <v/>
      </c>
      <c r="S120" s="32" t="s">
        <v>511</v>
      </c>
      <c r="T120" s="32" t="s">
        <v>1359</v>
      </c>
      <c r="U120" s="32" t="s">
        <v>511</v>
      </c>
      <c r="W120" t="s">
        <v>990</v>
      </c>
      <c r="X120" t="s">
        <v>988</v>
      </c>
      <c r="Y120" t="s">
        <v>503</v>
      </c>
      <c r="AA120" s="15" t="s">
        <v>680</v>
      </c>
      <c r="AB120" s="15" t="s">
        <v>2440</v>
      </c>
      <c r="AC120" s="15" t="s">
        <v>491</v>
      </c>
      <c r="AE120" t="s">
        <v>853</v>
      </c>
      <c r="AF120" t="s">
        <v>2445</v>
      </c>
      <c r="AG120" t="s">
        <v>2432</v>
      </c>
      <c r="AH120" t="s">
        <v>491</v>
      </c>
      <c r="AJ120" s="28" t="s">
        <v>1072</v>
      </c>
      <c r="AK120" s="28" t="s">
        <v>1072</v>
      </c>
      <c r="AL120" s="28" t="s">
        <v>511</v>
      </c>
      <c r="AM120" s="28"/>
      <c r="AN120" s="28" t="s">
        <v>9</v>
      </c>
      <c r="AO120" s="28"/>
      <c r="AQ120" t="s">
        <v>768</v>
      </c>
      <c r="AR120" t="s">
        <v>769</v>
      </c>
      <c r="AS120" t="s">
        <v>2240</v>
      </c>
      <c r="AT120" t="s">
        <v>2241</v>
      </c>
      <c r="AU120">
        <v>2014</v>
      </c>
      <c r="AV120" t="s">
        <v>2242</v>
      </c>
      <c r="AW120">
        <v>2021.2190000000001</v>
      </c>
    </row>
    <row r="121" spans="1:49" x14ac:dyDescent="0.25">
      <c r="A121" s="5" t="s">
        <v>503</v>
      </c>
      <c r="B121" s="5" t="str">
        <f>INDEX(Regions!B:B,MATCH(A121,Regions!A:A,0))</f>
        <v>Other S&amp;C America</v>
      </c>
      <c r="C121" t="s">
        <v>608</v>
      </c>
      <c r="D121" s="5" t="s">
        <v>609</v>
      </c>
      <c r="E121" s="5" t="s">
        <v>610</v>
      </c>
      <c r="F121" s="5">
        <v>52</v>
      </c>
      <c r="G121" s="33">
        <f t="shared" si="5"/>
        <v>3.9042446583004704E-5</v>
      </c>
      <c r="H121" s="5" t="str">
        <f t="shared" si="6"/>
        <v>NotAccounted</v>
      </c>
      <c r="I121" s="5" t="str">
        <f t="shared" si="7"/>
        <v/>
      </c>
      <c r="J121" s="5" t="str">
        <f t="shared" si="8"/>
        <v/>
      </c>
      <c r="K121" s="5" t="str">
        <f t="shared" si="9"/>
        <v/>
      </c>
      <c r="S121" s="32" t="s">
        <v>2246</v>
      </c>
      <c r="T121" s="32" t="s">
        <v>1146</v>
      </c>
      <c r="U121" s="32" t="s">
        <v>517</v>
      </c>
      <c r="W121" t="s">
        <v>1327</v>
      </c>
      <c r="X121" t="s">
        <v>1325</v>
      </c>
      <c r="Y121" t="s">
        <v>503</v>
      </c>
      <c r="AA121" s="15" t="s">
        <v>955</v>
      </c>
      <c r="AB121" s="15" t="s">
        <v>2440</v>
      </c>
      <c r="AC121" s="15" t="s">
        <v>491</v>
      </c>
      <c r="AE121" t="s">
        <v>680</v>
      </c>
      <c r="AF121" t="s">
        <v>2450</v>
      </c>
      <c r="AG121" t="s">
        <v>2432</v>
      </c>
      <c r="AH121" t="s">
        <v>491</v>
      </c>
      <c r="AJ121" s="28" t="s">
        <v>1077</v>
      </c>
      <c r="AK121" s="28" t="s">
        <v>1077</v>
      </c>
      <c r="AL121" s="28" t="s">
        <v>517</v>
      </c>
      <c r="AM121" s="28" t="s">
        <v>605</v>
      </c>
      <c r="AN121" s="28" t="s">
        <v>9</v>
      </c>
      <c r="AO121" s="28"/>
      <c r="AQ121" t="s">
        <v>1106</v>
      </c>
      <c r="AR121" t="s">
        <v>1104</v>
      </c>
      <c r="AS121" t="s">
        <v>2240</v>
      </c>
      <c r="AT121" t="s">
        <v>2241</v>
      </c>
      <c r="AU121">
        <v>2014</v>
      </c>
      <c r="AV121" t="s">
        <v>2242</v>
      </c>
      <c r="AW121">
        <v>6261.0439999999999</v>
      </c>
    </row>
    <row r="122" spans="1:49" x14ac:dyDescent="0.25">
      <c r="A122" s="5" t="s">
        <v>503</v>
      </c>
      <c r="B122" s="5" t="str">
        <f>INDEX(Regions!B:B,MATCH(A122,Regions!A:A,0))</f>
        <v>Other S&amp;C America</v>
      </c>
      <c r="C122" t="s">
        <v>628</v>
      </c>
      <c r="D122" s="5" t="s">
        <v>629</v>
      </c>
      <c r="E122" s="5" t="s">
        <v>630</v>
      </c>
      <c r="F122" s="5">
        <v>84</v>
      </c>
      <c r="G122" s="33">
        <f t="shared" si="5"/>
        <v>4.8437548465554546E-5</v>
      </c>
      <c r="H122" s="5" t="str">
        <f t="shared" si="6"/>
        <v/>
      </c>
      <c r="I122" s="5" t="str">
        <f t="shared" si="7"/>
        <v/>
      </c>
      <c r="J122" s="5" t="str">
        <f t="shared" si="8"/>
        <v/>
      </c>
      <c r="K122" s="5" t="str">
        <f t="shared" si="9"/>
        <v/>
      </c>
      <c r="S122" s="32" t="s">
        <v>2288</v>
      </c>
      <c r="T122" s="32" t="s">
        <v>1161</v>
      </c>
      <c r="U122" s="32" t="s">
        <v>481</v>
      </c>
      <c r="W122" t="s">
        <v>1332</v>
      </c>
      <c r="X122" t="s">
        <v>1330</v>
      </c>
      <c r="Y122" t="s">
        <v>503</v>
      </c>
      <c r="AA122" s="15" t="s">
        <v>722</v>
      </c>
      <c r="AB122" s="15" t="s">
        <v>2440</v>
      </c>
      <c r="AC122" s="15" t="s">
        <v>491</v>
      </c>
      <c r="AE122" t="s">
        <v>722</v>
      </c>
      <c r="AF122" t="s">
        <v>2451</v>
      </c>
      <c r="AG122" t="s">
        <v>2432</v>
      </c>
      <c r="AH122" t="s">
        <v>491</v>
      </c>
      <c r="AJ122" s="28" t="s">
        <v>1093</v>
      </c>
      <c r="AK122" s="28" t="s">
        <v>1093</v>
      </c>
      <c r="AL122" s="28" t="s">
        <v>511</v>
      </c>
      <c r="AM122" s="28"/>
      <c r="AN122" s="28" t="s">
        <v>9</v>
      </c>
      <c r="AO122" s="28"/>
      <c r="AQ122" t="s">
        <v>1111</v>
      </c>
      <c r="AR122" t="s">
        <v>1109</v>
      </c>
      <c r="AS122" t="s">
        <v>2240</v>
      </c>
      <c r="AT122" t="s">
        <v>2241</v>
      </c>
      <c r="AU122">
        <v>2014</v>
      </c>
      <c r="AV122" t="s">
        <v>2242</v>
      </c>
      <c r="AW122">
        <v>2043.4449999999999</v>
      </c>
    </row>
    <row r="123" spans="1:49" x14ac:dyDescent="0.25">
      <c r="A123" s="5" t="s">
        <v>503</v>
      </c>
      <c r="B123" s="5" t="str">
        <f>INDEX(Regions!B:B,MATCH(A123,Regions!A:A,0))</f>
        <v>Other S&amp;C America</v>
      </c>
      <c r="C123" t="s">
        <v>639</v>
      </c>
      <c r="D123" s="5" t="s">
        <v>640</v>
      </c>
      <c r="E123" s="5" t="s">
        <v>641</v>
      </c>
      <c r="F123" s="5">
        <v>60</v>
      </c>
      <c r="G123" s="33">
        <f t="shared" si="5"/>
        <v>8.7773060817816489E-6</v>
      </c>
      <c r="H123" s="5" t="str">
        <f t="shared" si="6"/>
        <v>NotAccounted</v>
      </c>
      <c r="I123" s="5" t="str">
        <f t="shared" si="7"/>
        <v/>
      </c>
      <c r="J123" s="5" t="str">
        <f t="shared" si="8"/>
        <v/>
      </c>
      <c r="K123" s="5" t="str">
        <f t="shared" si="9"/>
        <v>USA</v>
      </c>
      <c r="L123" t="s">
        <v>2300</v>
      </c>
      <c r="S123" s="32" t="s">
        <v>1191</v>
      </c>
      <c r="T123" s="32" t="s">
        <v>1191</v>
      </c>
      <c r="U123" s="32" t="s">
        <v>503</v>
      </c>
      <c r="W123" t="s">
        <v>1488</v>
      </c>
      <c r="X123" t="s">
        <v>1486</v>
      </c>
      <c r="Y123" t="s">
        <v>503</v>
      </c>
      <c r="AA123" s="15" t="s">
        <v>1000</v>
      </c>
      <c r="AB123" s="15" t="s">
        <v>2440</v>
      </c>
      <c r="AC123" s="15" t="s">
        <v>491</v>
      </c>
      <c r="AE123" t="s">
        <v>735</v>
      </c>
      <c r="AF123" t="s">
        <v>2452</v>
      </c>
      <c r="AG123" t="s">
        <v>2437</v>
      </c>
      <c r="AH123" t="s">
        <v>491</v>
      </c>
      <c r="AJ123" s="28" t="s">
        <v>712</v>
      </c>
      <c r="AK123" s="28" t="s">
        <v>712</v>
      </c>
      <c r="AL123" s="28" t="s">
        <v>557</v>
      </c>
      <c r="AM123" s="28" t="s">
        <v>613</v>
      </c>
      <c r="AN123" s="28" t="s">
        <v>9</v>
      </c>
      <c r="AO123" s="28"/>
      <c r="AQ123" t="s">
        <v>1117</v>
      </c>
      <c r="AR123" t="s">
        <v>1115</v>
      </c>
      <c r="AS123" t="s">
        <v>2240</v>
      </c>
      <c r="AT123" t="s">
        <v>2241</v>
      </c>
      <c r="AU123">
        <v>2014</v>
      </c>
      <c r="AV123" t="s">
        <v>2242</v>
      </c>
      <c r="AW123">
        <v>4359.5060000000003</v>
      </c>
    </row>
    <row r="124" spans="1:49" x14ac:dyDescent="0.25">
      <c r="A124" s="5" t="s">
        <v>503</v>
      </c>
      <c r="B124" s="5" t="str">
        <f>INDEX(Regions!B:B,MATCH(A124,Regions!A:A,0))</f>
        <v>Other S&amp;C America</v>
      </c>
      <c r="C124" t="s">
        <v>651</v>
      </c>
      <c r="D124" s="5" t="s">
        <v>652</v>
      </c>
      <c r="E124" s="5" t="s">
        <v>653</v>
      </c>
      <c r="F124" s="5">
        <v>68</v>
      </c>
      <c r="G124" s="33">
        <f t="shared" si="5"/>
        <v>1.4675929095747289E-3</v>
      </c>
      <c r="H124" s="5" t="str">
        <f t="shared" si="6"/>
        <v/>
      </c>
      <c r="I124" s="5" t="str">
        <f t="shared" si="7"/>
        <v/>
      </c>
      <c r="J124" s="5" t="str">
        <f t="shared" si="8"/>
        <v/>
      </c>
      <c r="K124" s="5" t="str">
        <f t="shared" si="9"/>
        <v/>
      </c>
      <c r="S124" s="32" t="e">
        <v>#N/A</v>
      </c>
      <c r="T124" s="32" t="s">
        <v>1175</v>
      </c>
      <c r="U124" s="32" t="e">
        <v>#N/A</v>
      </c>
      <c r="W124" t="s">
        <v>1615</v>
      </c>
      <c r="X124" t="s">
        <v>1613</v>
      </c>
      <c r="Y124" t="s">
        <v>503</v>
      </c>
      <c r="AA124" s="15" t="s">
        <v>1020</v>
      </c>
      <c r="AB124" s="15" t="s">
        <v>2440</v>
      </c>
      <c r="AC124" s="15" t="s">
        <v>491</v>
      </c>
      <c r="AE124" t="s">
        <v>742</v>
      </c>
      <c r="AF124" t="s">
        <v>2453</v>
      </c>
      <c r="AG124" t="s">
        <v>2432</v>
      </c>
      <c r="AH124" t="s">
        <v>491</v>
      </c>
      <c r="AJ124" s="28" t="s">
        <v>1083</v>
      </c>
      <c r="AK124" s="28" t="s">
        <v>2270</v>
      </c>
      <c r="AL124" s="28" t="s">
        <v>481</v>
      </c>
      <c r="AM124" s="28"/>
      <c r="AN124" s="28" t="s">
        <v>9</v>
      </c>
      <c r="AO124" s="28"/>
      <c r="AQ124" t="s">
        <v>1122</v>
      </c>
      <c r="AR124" t="s">
        <v>2388</v>
      </c>
      <c r="AS124" t="s">
        <v>2240</v>
      </c>
      <c r="AT124" t="s">
        <v>2241</v>
      </c>
      <c r="AU124">
        <v>2014</v>
      </c>
      <c r="AV124" t="s">
        <v>2242</v>
      </c>
      <c r="AW124">
        <v>6362.0370000000003</v>
      </c>
    </row>
    <row r="125" spans="1:49" x14ac:dyDescent="0.25">
      <c r="A125" s="5" t="s">
        <v>503</v>
      </c>
      <c r="B125" s="5" t="str">
        <f>INDEX(Regions!B:B,MATCH(A125,Regions!A:A,0))</f>
        <v>Other S&amp;C America</v>
      </c>
      <c r="C125" t="s">
        <v>675</v>
      </c>
      <c r="D125" s="5" t="s">
        <v>676</v>
      </c>
      <c r="E125" s="5" t="s">
        <v>677</v>
      </c>
      <c r="F125" s="5">
        <v>92</v>
      </c>
      <c r="G125" s="33">
        <f t="shared" si="5"/>
        <v>3.9736593007475556E-6</v>
      </c>
      <c r="H125" s="5" t="str">
        <f t="shared" si="6"/>
        <v>NotAccounted</v>
      </c>
      <c r="I125" s="5" t="str">
        <f t="shared" si="7"/>
        <v/>
      </c>
      <c r="J125" s="5" t="e">
        <f t="shared" si="8"/>
        <v>#N/A</v>
      </c>
      <c r="K125" s="5" t="str">
        <f t="shared" si="9"/>
        <v/>
      </c>
      <c r="S125" s="32" t="s">
        <v>2454</v>
      </c>
      <c r="T125" s="32" t="s">
        <v>1525</v>
      </c>
      <c r="U125" s="32" t="s">
        <v>491</v>
      </c>
      <c r="W125" t="s">
        <v>1632</v>
      </c>
      <c r="X125" t="s">
        <v>1630</v>
      </c>
      <c r="Y125" t="s">
        <v>503</v>
      </c>
      <c r="AA125" s="15" t="s">
        <v>742</v>
      </c>
      <c r="AB125" s="15" t="s">
        <v>2440</v>
      </c>
      <c r="AC125" s="15" t="s">
        <v>491</v>
      </c>
      <c r="AE125" t="s">
        <v>749</v>
      </c>
      <c r="AF125" t="s">
        <v>2455</v>
      </c>
      <c r="AG125" t="s">
        <v>2432</v>
      </c>
      <c r="AH125" t="s">
        <v>491</v>
      </c>
      <c r="AJ125" s="28" t="s">
        <v>1381</v>
      </c>
      <c r="AK125" s="28" t="s">
        <v>2239</v>
      </c>
      <c r="AL125" s="28" t="s">
        <v>503</v>
      </c>
      <c r="AM125" s="28"/>
      <c r="AN125" s="28" t="s">
        <v>9</v>
      </c>
      <c r="AO125" s="28"/>
      <c r="AQ125" t="s">
        <v>1128</v>
      </c>
      <c r="AR125" t="s">
        <v>1126</v>
      </c>
      <c r="AS125" t="s">
        <v>2240</v>
      </c>
      <c r="AT125" t="s">
        <v>2241</v>
      </c>
      <c r="AU125">
        <v>2014</v>
      </c>
      <c r="AV125" t="s">
        <v>2242</v>
      </c>
      <c r="AW125">
        <v>37.222999999999999</v>
      </c>
    </row>
    <row r="126" spans="1:49" x14ac:dyDescent="0.25">
      <c r="A126" s="5" t="s">
        <v>503</v>
      </c>
      <c r="B126" s="5" t="str">
        <f>INDEX(Regions!B:B,MATCH(A126,Regions!A:A,0))</f>
        <v>Other S&amp;C America</v>
      </c>
      <c r="C126" t="s">
        <v>737</v>
      </c>
      <c r="D126" s="5" t="s">
        <v>738</v>
      </c>
      <c r="E126" s="5" t="s">
        <v>739</v>
      </c>
      <c r="F126" s="5">
        <v>136</v>
      </c>
      <c r="G126" s="33">
        <f t="shared" si="5"/>
        <v>8.3407230719199438E-6</v>
      </c>
      <c r="H126" s="5" t="str">
        <f t="shared" si="6"/>
        <v>NotAccounted</v>
      </c>
      <c r="I126" s="5" t="str">
        <f t="shared" si="7"/>
        <v/>
      </c>
      <c r="J126" s="5" t="e">
        <f t="shared" si="8"/>
        <v>#N/A</v>
      </c>
      <c r="K126" s="5" t="str">
        <f t="shared" si="9"/>
        <v/>
      </c>
      <c r="S126" s="32" t="s">
        <v>2246</v>
      </c>
      <c r="T126" s="32" t="s">
        <v>1166</v>
      </c>
      <c r="U126" s="32" t="s">
        <v>517</v>
      </c>
      <c r="W126" t="s">
        <v>601</v>
      </c>
      <c r="X126" t="s">
        <v>599</v>
      </c>
      <c r="Y126" t="s">
        <v>481</v>
      </c>
      <c r="AA126" s="15" t="s">
        <v>749</v>
      </c>
      <c r="AB126" s="15" t="s">
        <v>2440</v>
      </c>
      <c r="AC126" s="15" t="s">
        <v>491</v>
      </c>
      <c r="AE126" t="s">
        <v>768</v>
      </c>
      <c r="AF126" t="s">
        <v>2456</v>
      </c>
      <c r="AG126" t="s">
        <v>2437</v>
      </c>
      <c r="AH126" t="s">
        <v>491</v>
      </c>
      <c r="AJ126" s="28" t="s">
        <v>1354</v>
      </c>
      <c r="AK126" s="28" t="s">
        <v>1354</v>
      </c>
      <c r="AL126" s="28" t="s">
        <v>557</v>
      </c>
      <c r="AM126" s="28" t="s">
        <v>613</v>
      </c>
      <c r="AN126" s="28" t="s">
        <v>9</v>
      </c>
      <c r="AO126" s="28"/>
      <c r="AQ126" t="s">
        <v>756</v>
      </c>
      <c r="AR126" t="s">
        <v>757</v>
      </c>
      <c r="AS126" t="s">
        <v>2240</v>
      </c>
      <c r="AT126" t="s">
        <v>2241</v>
      </c>
      <c r="AU126">
        <v>2014</v>
      </c>
      <c r="AV126" t="s">
        <v>2242</v>
      </c>
      <c r="AW126">
        <v>2971.4969999999998</v>
      </c>
    </row>
    <row r="127" spans="1:49" x14ac:dyDescent="0.25">
      <c r="A127" s="5" t="s">
        <v>503</v>
      </c>
      <c r="B127" s="5" t="str">
        <f>INDEX(Regions!B:B,MATCH(A127,Regions!A:A,0))</f>
        <v>Other S&amp;C America</v>
      </c>
      <c r="C127" t="s">
        <v>758</v>
      </c>
      <c r="D127" s="5" t="s">
        <v>759</v>
      </c>
      <c r="E127" s="5" t="s">
        <v>760</v>
      </c>
      <c r="F127" s="5">
        <v>152</v>
      </c>
      <c r="G127" s="33">
        <f t="shared" si="5"/>
        <v>2.4343044810771156E-3</v>
      </c>
      <c r="H127" s="5" t="str">
        <f t="shared" si="6"/>
        <v/>
      </c>
      <c r="I127" s="5" t="str">
        <f t="shared" si="7"/>
        <v/>
      </c>
      <c r="J127" s="5" t="str">
        <f t="shared" si="8"/>
        <v/>
      </c>
      <c r="K127" s="5" t="str">
        <f t="shared" si="9"/>
        <v/>
      </c>
      <c r="S127" s="32" t="s">
        <v>2457</v>
      </c>
      <c r="T127" s="32" t="s">
        <v>775</v>
      </c>
      <c r="U127" s="32" t="s">
        <v>491</v>
      </c>
      <c r="W127" t="s">
        <v>648</v>
      </c>
      <c r="X127" t="s">
        <v>646</v>
      </c>
      <c r="Y127" t="s">
        <v>481</v>
      </c>
      <c r="AA127" s="15" t="s">
        <v>1128</v>
      </c>
      <c r="AB127" s="15" t="s">
        <v>2440</v>
      </c>
      <c r="AC127" s="15" t="s">
        <v>491</v>
      </c>
      <c r="AE127" t="s">
        <v>756</v>
      </c>
      <c r="AF127" t="s">
        <v>2458</v>
      </c>
      <c r="AG127" t="s">
        <v>2437</v>
      </c>
      <c r="AH127" t="s">
        <v>491</v>
      </c>
      <c r="AJ127" s="28" t="s">
        <v>1088</v>
      </c>
      <c r="AK127" s="28" t="s">
        <v>2266</v>
      </c>
      <c r="AL127" s="28" t="s">
        <v>500</v>
      </c>
      <c r="AM127" s="28" t="s">
        <v>605</v>
      </c>
      <c r="AN127" s="28" t="s">
        <v>9</v>
      </c>
      <c r="AO127" s="28"/>
      <c r="AQ127" t="s">
        <v>763</v>
      </c>
      <c r="AR127" t="s">
        <v>764</v>
      </c>
      <c r="AS127" t="s">
        <v>2240</v>
      </c>
      <c r="AT127" t="s">
        <v>2241</v>
      </c>
      <c r="AU127">
        <v>2014</v>
      </c>
      <c r="AV127" t="s">
        <v>2242</v>
      </c>
      <c r="AW127">
        <v>554.51599999999996</v>
      </c>
    </row>
    <row r="128" spans="1:49" x14ac:dyDescent="0.25">
      <c r="A128" s="5" t="s">
        <v>503</v>
      </c>
      <c r="B128" s="5" t="str">
        <f>INDEX(Regions!B:B,MATCH(A128,Regions!A:A,0))</f>
        <v>Other S&amp;C America</v>
      </c>
      <c r="C128" t="s">
        <v>770</v>
      </c>
      <c r="D128" s="5" t="s">
        <v>771</v>
      </c>
      <c r="E128" s="5" t="s">
        <v>772</v>
      </c>
      <c r="F128" s="5">
        <v>170</v>
      </c>
      <c r="G128" s="33">
        <f t="shared" si="5"/>
        <v>6.4380841714127357E-3</v>
      </c>
      <c r="H128" s="5" t="str">
        <f t="shared" si="6"/>
        <v/>
      </c>
      <c r="I128" s="5" t="str">
        <f t="shared" si="7"/>
        <v/>
      </c>
      <c r="J128" s="5" t="str">
        <f t="shared" si="8"/>
        <v/>
      </c>
      <c r="K128" s="5" t="str">
        <f t="shared" si="9"/>
        <v/>
      </c>
      <c r="S128" s="32" t="s">
        <v>2243</v>
      </c>
      <c r="T128" s="32" t="s">
        <v>1232</v>
      </c>
      <c r="U128" s="32" t="s">
        <v>481</v>
      </c>
      <c r="W128" t="s">
        <v>1247</v>
      </c>
      <c r="X128" t="s">
        <v>1245</v>
      </c>
      <c r="Y128" t="s">
        <v>481</v>
      </c>
      <c r="AA128" s="15" t="s">
        <v>763</v>
      </c>
      <c r="AB128" s="15" t="s">
        <v>2440</v>
      </c>
      <c r="AC128" s="15" t="s">
        <v>491</v>
      </c>
      <c r="AE128" t="s">
        <v>763</v>
      </c>
      <c r="AF128" t="s">
        <v>2459</v>
      </c>
      <c r="AG128" t="s">
        <v>2432</v>
      </c>
      <c r="AH128" t="s">
        <v>491</v>
      </c>
      <c r="AJ128" s="28" t="s">
        <v>1098</v>
      </c>
      <c r="AK128" s="28" t="s">
        <v>1098</v>
      </c>
      <c r="AL128" s="28" t="s">
        <v>557</v>
      </c>
      <c r="AM128" s="28" t="s">
        <v>613</v>
      </c>
      <c r="AN128" s="28" t="s">
        <v>9</v>
      </c>
      <c r="AO128" s="28"/>
      <c r="AQ128" t="s">
        <v>1146</v>
      </c>
      <c r="AR128" t="s">
        <v>1144</v>
      </c>
      <c r="AS128" t="s">
        <v>2240</v>
      </c>
      <c r="AT128" t="s">
        <v>2241</v>
      </c>
      <c r="AU128">
        <v>2014</v>
      </c>
      <c r="AV128" t="s">
        <v>2242</v>
      </c>
      <c r="AW128">
        <v>23589.887999999999</v>
      </c>
    </row>
    <row r="129" spans="1:49" x14ac:dyDescent="0.25">
      <c r="A129" s="5" t="s">
        <v>503</v>
      </c>
      <c r="B129" s="5" t="str">
        <f>INDEX(Regions!B:B,MATCH(A129,Regions!A:A,0))</f>
        <v>Other S&amp;C America</v>
      </c>
      <c r="C129" t="s">
        <v>797</v>
      </c>
      <c r="D129" s="5" t="s">
        <v>798</v>
      </c>
      <c r="E129" s="5" t="s">
        <v>799</v>
      </c>
      <c r="F129" s="5">
        <v>188</v>
      </c>
      <c r="G129" s="33">
        <f t="shared" si="5"/>
        <v>6.5732760413148527E-4</v>
      </c>
      <c r="H129" s="5" t="str">
        <f t="shared" si="6"/>
        <v/>
      </c>
      <c r="I129" s="5" t="str">
        <f t="shared" si="7"/>
        <v/>
      </c>
      <c r="J129" s="5" t="str">
        <f t="shared" si="8"/>
        <v/>
      </c>
      <c r="K129" s="5" t="str">
        <f t="shared" si="9"/>
        <v/>
      </c>
      <c r="S129" s="32" t="s">
        <v>2460</v>
      </c>
      <c r="T129" s="32" t="s">
        <v>1212</v>
      </c>
      <c r="U129" s="32" t="s">
        <v>491</v>
      </c>
      <c r="W129" t="s">
        <v>1300</v>
      </c>
      <c r="X129" t="s">
        <v>1298</v>
      </c>
      <c r="Y129" t="s">
        <v>481</v>
      </c>
      <c r="AA129" s="15" t="s">
        <v>1202</v>
      </c>
      <c r="AB129" s="15" t="s">
        <v>2440</v>
      </c>
      <c r="AC129" s="15" t="s">
        <v>491</v>
      </c>
      <c r="AE129" t="s">
        <v>775</v>
      </c>
      <c r="AF129" t="s">
        <v>2461</v>
      </c>
      <c r="AG129" t="s">
        <v>2432</v>
      </c>
      <c r="AH129" t="s">
        <v>491</v>
      </c>
      <c r="AJ129" s="28" t="s">
        <v>1106</v>
      </c>
      <c r="AK129" s="28" t="s">
        <v>1106</v>
      </c>
      <c r="AL129" s="28" t="s">
        <v>500</v>
      </c>
      <c r="AM129" s="28" t="s">
        <v>605</v>
      </c>
      <c r="AN129" s="28" t="s">
        <v>9</v>
      </c>
      <c r="AO129" s="28"/>
      <c r="AQ129" t="s">
        <v>1151</v>
      </c>
      <c r="AR129" t="s">
        <v>1149</v>
      </c>
      <c r="AS129" t="s">
        <v>2240</v>
      </c>
      <c r="AT129" t="s">
        <v>2241</v>
      </c>
      <c r="AU129">
        <v>2014</v>
      </c>
      <c r="AV129" t="s">
        <v>2242</v>
      </c>
      <c r="AW129">
        <v>16289.552</v>
      </c>
    </row>
    <row r="130" spans="1:49" x14ac:dyDescent="0.25">
      <c r="A130" s="5" t="s">
        <v>503</v>
      </c>
      <c r="B130" s="5" t="str">
        <f>INDEX(Regions!B:B,MATCH(A130,Regions!A:A,0))</f>
        <v>Other S&amp;C America</v>
      </c>
      <c r="C130" t="s">
        <v>817</v>
      </c>
      <c r="D130" s="5" t="s">
        <v>818</v>
      </c>
      <c r="E130" s="5" t="s">
        <v>819</v>
      </c>
      <c r="F130" s="5">
        <v>192</v>
      </c>
      <c r="G130" s="33">
        <f t="shared" si="5"/>
        <v>1.5498907945172219E-3</v>
      </c>
      <c r="H130" s="5" t="str">
        <f t="shared" si="6"/>
        <v/>
      </c>
      <c r="I130" s="5" t="str">
        <f t="shared" si="7"/>
        <v/>
      </c>
      <c r="J130" s="5" t="str">
        <f t="shared" si="8"/>
        <v/>
      </c>
      <c r="K130" s="5" t="str">
        <f t="shared" si="9"/>
        <v/>
      </c>
      <c r="S130" s="32" t="s">
        <v>2288</v>
      </c>
      <c r="T130" s="32" t="s">
        <v>1207</v>
      </c>
      <c r="U130" s="32" t="s">
        <v>481</v>
      </c>
      <c r="W130" t="s">
        <v>1472</v>
      </c>
      <c r="X130" t="s">
        <v>2462</v>
      </c>
      <c r="Y130" t="s">
        <v>481</v>
      </c>
      <c r="AA130" s="15" t="s">
        <v>169</v>
      </c>
      <c r="AB130" s="15" t="s">
        <v>2440</v>
      </c>
      <c r="AC130" s="15" t="s">
        <v>491</v>
      </c>
      <c r="AE130" t="s">
        <v>169</v>
      </c>
      <c r="AF130" t="s">
        <v>2463</v>
      </c>
      <c r="AG130" t="s">
        <v>2432</v>
      </c>
      <c r="AH130" t="s">
        <v>491</v>
      </c>
      <c r="AJ130" s="28" t="s">
        <v>1117</v>
      </c>
      <c r="AK130" s="28" t="s">
        <v>1117</v>
      </c>
      <c r="AL130" s="28" t="s">
        <v>517</v>
      </c>
      <c r="AM130" s="28" t="s">
        <v>605</v>
      </c>
      <c r="AN130" s="28" t="s">
        <v>9</v>
      </c>
      <c r="AO130" s="28"/>
      <c r="AQ130" t="s">
        <v>1156</v>
      </c>
      <c r="AR130" t="s">
        <v>1154</v>
      </c>
      <c r="AS130" t="s">
        <v>2240</v>
      </c>
      <c r="AT130" t="s">
        <v>2241</v>
      </c>
      <c r="AU130">
        <v>2014</v>
      </c>
      <c r="AV130" t="s">
        <v>2242</v>
      </c>
      <c r="AW130">
        <v>29866.602999999999</v>
      </c>
    </row>
    <row r="131" spans="1:49" x14ac:dyDescent="0.25">
      <c r="A131" s="5" t="s">
        <v>503</v>
      </c>
      <c r="B131" s="5" t="str">
        <f>INDEX(Regions!B:B,MATCH(A131,Regions!A:A,0))</f>
        <v>Other S&amp;C America</v>
      </c>
      <c r="C131" t="s">
        <v>860</v>
      </c>
      <c r="D131" s="5" t="s">
        <v>861</v>
      </c>
      <c r="E131" s="5" t="s">
        <v>862</v>
      </c>
      <c r="F131" s="5">
        <v>212</v>
      </c>
      <c r="G131" s="33">
        <f t="shared" si="5"/>
        <v>9.7439570662540965E-6</v>
      </c>
      <c r="H131" s="5" t="str">
        <f t="shared" si="6"/>
        <v>NotAccounted</v>
      </c>
      <c r="I131" s="5" t="str">
        <f t="shared" si="7"/>
        <v/>
      </c>
      <c r="J131" s="5" t="str">
        <f t="shared" si="8"/>
        <v/>
      </c>
      <c r="K131" s="5" t="str">
        <f t="shared" si="9"/>
        <v/>
      </c>
      <c r="S131" s="32" t="e">
        <v>#N/A</v>
      </c>
      <c r="T131" s="32" t="s">
        <v>2279</v>
      </c>
      <c r="U131" s="32" t="e">
        <v>#N/A</v>
      </c>
      <c r="W131" t="s">
        <v>684</v>
      </c>
      <c r="X131" t="s">
        <v>2464</v>
      </c>
      <c r="Y131" t="s">
        <v>557</v>
      </c>
      <c r="AA131" s="15" t="s">
        <v>847</v>
      </c>
      <c r="AB131" s="15" t="s">
        <v>2440</v>
      </c>
      <c r="AC131" s="15" t="s">
        <v>491</v>
      </c>
      <c r="AE131" t="s">
        <v>788</v>
      </c>
      <c r="AF131" t="s">
        <v>2465</v>
      </c>
      <c r="AG131" t="s">
        <v>2437</v>
      </c>
      <c r="AH131" t="s">
        <v>491</v>
      </c>
      <c r="AJ131" s="28" t="s">
        <v>1122</v>
      </c>
      <c r="AK131" s="28" t="s">
        <v>1122</v>
      </c>
      <c r="AL131" s="28" t="s">
        <v>500</v>
      </c>
      <c r="AM131" s="28" t="s">
        <v>605</v>
      </c>
      <c r="AN131" s="28" t="s">
        <v>9</v>
      </c>
      <c r="AO131" s="28"/>
      <c r="AQ131" t="s">
        <v>1161</v>
      </c>
      <c r="AR131" t="s">
        <v>1159</v>
      </c>
      <c r="AS131" t="s">
        <v>2240</v>
      </c>
      <c r="AT131" t="s">
        <v>2241</v>
      </c>
      <c r="AU131">
        <v>2014</v>
      </c>
      <c r="AV131" t="s">
        <v>2242</v>
      </c>
      <c r="AW131">
        <v>435.01499999999999</v>
      </c>
    </row>
    <row r="132" spans="1:49" x14ac:dyDescent="0.25">
      <c r="A132" s="5" t="s">
        <v>503</v>
      </c>
      <c r="B132" s="5" t="str">
        <f>INDEX(Regions!B:B,MATCH(A132,Regions!A:A,0))</f>
        <v>Other S&amp;C America</v>
      </c>
      <c r="C132" t="s">
        <v>867</v>
      </c>
      <c r="D132" s="5" t="s">
        <v>868</v>
      </c>
      <c r="E132" s="5" t="s">
        <v>869</v>
      </c>
      <c r="F132" s="5">
        <v>214</v>
      </c>
      <c r="G132" s="33">
        <f t="shared" ref="G132:G195" si="10">INDEX(AW:AW,MATCH(E132,AQ:AQ,0))/INDEX(AW:AW,MATCH("World",AR:AR,0))</f>
        <v>1.3933896985667304E-3</v>
      </c>
      <c r="H132" s="5" t="str">
        <f t="shared" ref="H132:H195" si="11">IF(INDEX(Y:Y,MATCH(E132,W:W,0))=A132,"",INDEX(Y:Y,MATCH(E132,W:W,0)))</f>
        <v/>
      </c>
      <c r="I132" s="5" t="str">
        <f t="shared" ref="I132:I195" si="12">IF(INDEX(AC:AC,MATCH(E132,AA:AA,0))=A132,"",INDEX(AC:AC,MATCH(E132,AA:AA,0)))</f>
        <v/>
      </c>
      <c r="J132" s="5" t="str">
        <f t="shared" ref="J132:J195" si="13">IF(INDEX(U:U,MATCH(E132,T:T,0))=A132,"",INDEX(U:U,MATCH(E132,T:T,0)))</f>
        <v/>
      </c>
      <c r="K132" s="5" t="str">
        <f t="shared" ref="K132:K195" si="14">IF(INDEX(AH:AH,MATCH(E132,AE:AE,0))=A132,"",INDEX(AH:AH,MATCH(E132,AE:AE,0)))</f>
        <v/>
      </c>
      <c r="S132" s="32" t="s">
        <v>2246</v>
      </c>
      <c r="T132" s="32" t="s">
        <v>1227</v>
      </c>
      <c r="U132" s="32" t="s">
        <v>517</v>
      </c>
      <c r="W132" t="s">
        <v>1232</v>
      </c>
      <c r="X132" t="s">
        <v>2466</v>
      </c>
      <c r="Y132" t="s">
        <v>557</v>
      </c>
      <c r="AA132" s="15" t="s">
        <v>795</v>
      </c>
      <c r="AB132" s="15" t="s">
        <v>2440</v>
      </c>
      <c r="AC132" s="15" t="s">
        <v>491</v>
      </c>
      <c r="AE132" t="s">
        <v>795</v>
      </c>
      <c r="AF132" t="s">
        <v>2467</v>
      </c>
      <c r="AG132" t="s">
        <v>2432</v>
      </c>
      <c r="AH132" t="s">
        <v>491</v>
      </c>
      <c r="AJ132" s="28" t="s">
        <v>1388</v>
      </c>
      <c r="AK132" s="28" t="s">
        <v>2239</v>
      </c>
      <c r="AL132" s="28" t="s">
        <v>503</v>
      </c>
      <c r="AM132" s="28"/>
      <c r="AN132" s="28" t="s">
        <v>9</v>
      </c>
      <c r="AO132" s="28"/>
      <c r="AQ132" t="s">
        <v>1166</v>
      </c>
      <c r="AR132" t="s">
        <v>1164</v>
      </c>
      <c r="AS132" t="s">
        <v>2240</v>
      </c>
      <c r="AT132" t="s">
        <v>2241</v>
      </c>
      <c r="AU132">
        <v>2014</v>
      </c>
      <c r="AV132" t="s">
        <v>2242</v>
      </c>
      <c r="AW132">
        <v>16934.214</v>
      </c>
    </row>
    <row r="133" spans="1:49" x14ac:dyDescent="0.25">
      <c r="A133" s="5" t="s">
        <v>503</v>
      </c>
      <c r="B133" s="5" t="str">
        <f>INDEX(Regions!B:B,MATCH(A133,Regions!A:A,0))</f>
        <v>Other S&amp;C America</v>
      </c>
      <c r="C133" t="s">
        <v>872</v>
      </c>
      <c r="D133" s="5" t="s">
        <v>873</v>
      </c>
      <c r="E133" s="5" t="s">
        <v>874</v>
      </c>
      <c r="F133" s="5">
        <v>218</v>
      </c>
      <c r="G133" s="33">
        <f t="shared" si="10"/>
        <v>2.1865941350180029E-3</v>
      </c>
      <c r="H133" s="5" t="str">
        <f t="shared" si="11"/>
        <v/>
      </c>
      <c r="I133" s="5" t="str">
        <f t="shared" si="12"/>
        <v/>
      </c>
      <c r="J133" s="5" t="str">
        <f t="shared" si="13"/>
        <v/>
      </c>
      <c r="K133" s="5" t="str">
        <f t="shared" si="14"/>
        <v/>
      </c>
      <c r="S133" s="32" t="s">
        <v>2246</v>
      </c>
      <c r="T133" s="32" t="s">
        <v>1180</v>
      </c>
      <c r="U133" s="32" t="s">
        <v>517</v>
      </c>
      <c r="W133" t="s">
        <v>1337</v>
      </c>
      <c r="X133" t="s">
        <v>1335</v>
      </c>
      <c r="Y133" t="s">
        <v>557</v>
      </c>
      <c r="AA133" s="15" t="s">
        <v>1404</v>
      </c>
      <c r="AB133" s="15" t="s">
        <v>2440</v>
      </c>
      <c r="AC133" s="15" t="s">
        <v>491</v>
      </c>
      <c r="AE133" t="s">
        <v>810</v>
      </c>
      <c r="AF133" t="s">
        <v>2468</v>
      </c>
      <c r="AG133" t="s">
        <v>2437</v>
      </c>
      <c r="AH133" t="s">
        <v>491</v>
      </c>
      <c r="AJ133" s="28" t="s">
        <v>1128</v>
      </c>
      <c r="AK133" s="28" t="s">
        <v>2320</v>
      </c>
      <c r="AL133" s="28" t="s">
        <v>491</v>
      </c>
      <c r="AM133" s="28"/>
      <c r="AN133" s="28" t="s">
        <v>9</v>
      </c>
      <c r="AO133" s="28"/>
      <c r="AQ133" t="s">
        <v>775</v>
      </c>
      <c r="AR133" t="s">
        <v>776</v>
      </c>
      <c r="AS133" t="s">
        <v>2240</v>
      </c>
      <c r="AT133" t="s">
        <v>2241</v>
      </c>
      <c r="AU133">
        <v>2014</v>
      </c>
      <c r="AV133" t="s">
        <v>2242</v>
      </c>
      <c r="AW133">
        <v>430.197</v>
      </c>
    </row>
    <row r="134" spans="1:49" x14ac:dyDescent="0.25">
      <c r="A134" s="5" t="s">
        <v>503</v>
      </c>
      <c r="B134" s="5" t="str">
        <f>INDEX(Regions!B:B,MATCH(A134,Regions!A:A,0))</f>
        <v>Other S&amp;C America</v>
      </c>
      <c r="C134" t="s">
        <v>883</v>
      </c>
      <c r="D134" s="5" t="s">
        <v>884</v>
      </c>
      <c r="E134" s="5" t="s">
        <v>885</v>
      </c>
      <c r="F134" s="5">
        <v>222</v>
      </c>
      <c r="G134" s="33">
        <f t="shared" si="10"/>
        <v>8.629029606608147E-4</v>
      </c>
      <c r="H134" s="5" t="str">
        <f t="shared" si="11"/>
        <v/>
      </c>
      <c r="I134" s="5" t="str">
        <f t="shared" si="12"/>
        <v/>
      </c>
      <c r="J134" s="5" t="str">
        <f t="shared" si="13"/>
        <v/>
      </c>
      <c r="K134" s="5" t="str">
        <f t="shared" si="14"/>
        <v/>
      </c>
      <c r="S134" s="32" t="e">
        <v>#N/A</v>
      </c>
      <c r="T134" s="32" t="s">
        <v>1217</v>
      </c>
      <c r="U134" s="32" t="e">
        <v>#N/A</v>
      </c>
      <c r="W134" t="s">
        <v>1441</v>
      </c>
      <c r="X134" t="s">
        <v>1439</v>
      </c>
      <c r="Y134" t="s">
        <v>557</v>
      </c>
      <c r="AA134" s="15" t="s">
        <v>692</v>
      </c>
      <c r="AB134" s="15" t="s">
        <v>2440</v>
      </c>
      <c r="AC134" s="15" t="s">
        <v>491</v>
      </c>
      <c r="AE134" t="s">
        <v>815</v>
      </c>
      <c r="AF134" t="s">
        <v>2469</v>
      </c>
      <c r="AG134" t="s">
        <v>2437</v>
      </c>
      <c r="AH134" t="s">
        <v>491</v>
      </c>
      <c r="AJ134" s="28" t="s">
        <v>1472</v>
      </c>
      <c r="AK134" s="28" t="s">
        <v>1472</v>
      </c>
      <c r="AL134" s="28" t="s">
        <v>481</v>
      </c>
      <c r="AM134" s="28" t="s">
        <v>613</v>
      </c>
      <c r="AN134" s="28" t="s">
        <v>9</v>
      </c>
      <c r="AO134" s="28"/>
      <c r="AQ134" t="s">
        <v>1175</v>
      </c>
      <c r="AR134" t="s">
        <v>1173</v>
      </c>
      <c r="AS134" t="s">
        <v>2240</v>
      </c>
      <c r="AT134" t="s">
        <v>2241</v>
      </c>
      <c r="AU134">
        <v>2014</v>
      </c>
      <c r="AV134" t="s">
        <v>2242</v>
      </c>
      <c r="AW134">
        <v>57.179000000000002</v>
      </c>
    </row>
    <row r="135" spans="1:49" x14ac:dyDescent="0.25">
      <c r="A135" s="5" t="s">
        <v>503</v>
      </c>
      <c r="B135" s="5" t="str">
        <f>INDEX(Regions!B:B,MATCH(A135,Regions!A:A,0))</f>
        <v>Other S&amp;C America</v>
      </c>
      <c r="C135" t="s">
        <v>906</v>
      </c>
      <c r="D135" s="5" t="s">
        <v>907</v>
      </c>
      <c r="E135" s="5" t="s">
        <v>908</v>
      </c>
      <c r="F135" s="5">
        <v>238</v>
      </c>
      <c r="G135" s="33">
        <f t="shared" si="10"/>
        <v>3.8271264161189328E-7</v>
      </c>
      <c r="H135" s="5" t="str">
        <f t="shared" si="11"/>
        <v/>
      </c>
      <c r="I135" s="5" t="str">
        <f t="shared" si="12"/>
        <v/>
      </c>
      <c r="J135" s="5" t="e">
        <f t="shared" si="13"/>
        <v>#N/A</v>
      </c>
      <c r="K135" s="5" t="str">
        <f t="shared" si="14"/>
        <v/>
      </c>
      <c r="L135" t="s">
        <v>2300</v>
      </c>
      <c r="S135" s="32" t="e">
        <v>#N/A</v>
      </c>
      <c r="T135" s="32" t="s">
        <v>2286</v>
      </c>
      <c r="U135" s="32" t="e">
        <v>#N/A</v>
      </c>
      <c r="W135" t="s">
        <v>1520</v>
      </c>
      <c r="X135" t="s">
        <v>1518</v>
      </c>
      <c r="Y135" t="s">
        <v>557</v>
      </c>
      <c r="AA135" s="15" t="s">
        <v>1679</v>
      </c>
      <c r="AB135" s="15" t="s">
        <v>2440</v>
      </c>
      <c r="AC135" s="15" t="s">
        <v>491</v>
      </c>
      <c r="AE135" t="s">
        <v>692</v>
      </c>
      <c r="AF135" t="s">
        <v>2470</v>
      </c>
      <c r="AG135" t="s">
        <v>2432</v>
      </c>
      <c r="AH135" t="s">
        <v>491</v>
      </c>
      <c r="AJ135" s="28" t="s">
        <v>1111</v>
      </c>
      <c r="AK135" s="28" t="s">
        <v>1111</v>
      </c>
      <c r="AL135" s="28" t="s">
        <v>517</v>
      </c>
      <c r="AM135" s="28" t="s">
        <v>605</v>
      </c>
      <c r="AN135" s="28" t="s">
        <v>9</v>
      </c>
      <c r="AO135" s="28"/>
      <c r="AQ135" t="s">
        <v>2286</v>
      </c>
      <c r="AR135" t="s">
        <v>2471</v>
      </c>
      <c r="AS135" t="s">
        <v>2240</v>
      </c>
      <c r="AT135" t="s">
        <v>2241</v>
      </c>
      <c r="AU135">
        <v>2014</v>
      </c>
      <c r="AV135" t="s">
        <v>2242</v>
      </c>
      <c r="AW135">
        <v>381.13799999999998</v>
      </c>
    </row>
    <row r="136" spans="1:49" x14ac:dyDescent="0.25">
      <c r="A136" s="5" t="s">
        <v>503</v>
      </c>
      <c r="B136" s="5" t="str">
        <f>INDEX(Regions!B:B,MATCH(A136,Regions!A:A,0))</f>
        <v>Other S&amp;C America</v>
      </c>
      <c r="C136" t="s">
        <v>961</v>
      </c>
      <c r="D136" s="5" t="s">
        <v>962</v>
      </c>
      <c r="E136" s="5" t="s">
        <v>963</v>
      </c>
      <c r="F136" s="5">
        <v>308</v>
      </c>
      <c r="G136" s="33">
        <f t="shared" si="10"/>
        <v>1.4927712069061035E-5</v>
      </c>
      <c r="H136" s="5" t="str">
        <f t="shared" si="11"/>
        <v>NotAccounted</v>
      </c>
      <c r="I136" s="5" t="str">
        <f t="shared" si="12"/>
        <v/>
      </c>
      <c r="J136" s="5" t="str">
        <f t="shared" si="13"/>
        <v/>
      </c>
      <c r="K136" s="5" t="str">
        <f t="shared" si="14"/>
        <v/>
      </c>
      <c r="S136" s="32" t="s">
        <v>2293</v>
      </c>
      <c r="T136" s="32" t="s">
        <v>1186</v>
      </c>
      <c r="U136" s="32" t="s">
        <v>517</v>
      </c>
      <c r="W136" t="s">
        <v>1530</v>
      </c>
      <c r="X136" t="s">
        <v>2472</v>
      </c>
      <c r="Y136" t="s">
        <v>557</v>
      </c>
      <c r="AA136" s="15" t="s">
        <v>822</v>
      </c>
      <c r="AB136" s="15" t="s">
        <v>2440</v>
      </c>
      <c r="AC136" s="15" t="s">
        <v>491</v>
      </c>
      <c r="AE136" t="s">
        <v>822</v>
      </c>
      <c r="AF136" t="s">
        <v>2473</v>
      </c>
      <c r="AG136" t="s">
        <v>2432</v>
      </c>
      <c r="AH136" t="s">
        <v>491</v>
      </c>
      <c r="AJ136" s="28" t="s">
        <v>756</v>
      </c>
      <c r="AK136" s="28" t="s">
        <v>2377</v>
      </c>
      <c r="AL136" s="28" t="s">
        <v>491</v>
      </c>
      <c r="AM136" s="28"/>
      <c r="AN136" s="28" t="s">
        <v>9</v>
      </c>
      <c r="AO136" s="28"/>
      <c r="AQ136" t="s">
        <v>1180</v>
      </c>
      <c r="AR136" t="s">
        <v>1178</v>
      </c>
      <c r="AS136" t="s">
        <v>2240</v>
      </c>
      <c r="AT136" t="s">
        <v>2241</v>
      </c>
      <c r="AU136">
        <v>2014</v>
      </c>
      <c r="AV136" t="s">
        <v>2242</v>
      </c>
      <c r="AW136">
        <v>3930.8960000000002</v>
      </c>
    </row>
    <row r="137" spans="1:49" x14ac:dyDescent="0.25">
      <c r="A137" s="5" t="s">
        <v>503</v>
      </c>
      <c r="B137" s="5" t="str">
        <f>INDEX(Regions!B:B,MATCH(A137,Regions!A:A,0))</f>
        <v>Other S&amp;C America</v>
      </c>
      <c r="C137" t="s">
        <v>967</v>
      </c>
      <c r="D137" s="5" t="s">
        <v>968</v>
      </c>
      <c r="E137" s="5" t="s">
        <v>969</v>
      </c>
      <c r="F137" s="5">
        <v>312</v>
      </c>
      <c r="G137" s="33">
        <f t="shared" si="10"/>
        <v>5.5010007541488311E-5</v>
      </c>
      <c r="H137" s="5" t="str">
        <f t="shared" si="11"/>
        <v/>
      </c>
      <c r="I137" s="5" t="str">
        <f t="shared" si="12"/>
        <v/>
      </c>
      <c r="J137" s="5" t="e">
        <f t="shared" si="13"/>
        <v>#N/A</v>
      </c>
      <c r="K137" s="5" t="str">
        <f t="shared" si="14"/>
        <v>EUR</v>
      </c>
      <c r="S137" s="32" t="s">
        <v>2246</v>
      </c>
      <c r="T137" s="32" t="s">
        <v>1151</v>
      </c>
      <c r="U137" s="32" t="s">
        <v>517</v>
      </c>
      <c r="W137" t="s">
        <v>712</v>
      </c>
      <c r="X137" t="s">
        <v>710</v>
      </c>
      <c r="Y137" t="s">
        <v>557</v>
      </c>
      <c r="AA137" s="15" t="s">
        <v>1503</v>
      </c>
      <c r="AB137" s="15" t="s">
        <v>2440</v>
      </c>
      <c r="AC137" s="15" t="s">
        <v>491</v>
      </c>
      <c r="AE137" t="s">
        <v>840</v>
      </c>
      <c r="AF137" t="s">
        <v>2474</v>
      </c>
      <c r="AG137" t="s">
        <v>2432</v>
      </c>
      <c r="AH137" t="s">
        <v>491</v>
      </c>
      <c r="AJ137" s="28" t="s">
        <v>763</v>
      </c>
      <c r="AK137" s="28" t="s">
        <v>828</v>
      </c>
      <c r="AL137" s="28" t="s">
        <v>491</v>
      </c>
      <c r="AM137" s="28"/>
      <c r="AN137" s="28" t="s">
        <v>9</v>
      </c>
      <c r="AO137" s="28"/>
      <c r="AQ137" t="s">
        <v>1186</v>
      </c>
      <c r="AR137" t="s">
        <v>1184</v>
      </c>
      <c r="AS137" t="s">
        <v>2240</v>
      </c>
      <c r="AT137" t="s">
        <v>2241</v>
      </c>
      <c r="AU137">
        <v>2014</v>
      </c>
      <c r="AV137" t="s">
        <v>2242</v>
      </c>
      <c r="AW137">
        <v>1257.355</v>
      </c>
    </row>
    <row r="138" spans="1:49" x14ac:dyDescent="0.25">
      <c r="A138" s="5" t="s">
        <v>503</v>
      </c>
      <c r="B138" s="5" t="str">
        <f>INDEX(Regions!B:B,MATCH(A138,Regions!A:A,0))</f>
        <v>Other S&amp;C America</v>
      </c>
      <c r="C138" t="s">
        <v>972</v>
      </c>
      <c r="D138" s="5" t="s">
        <v>973</v>
      </c>
      <c r="E138" s="5" t="s">
        <v>974</v>
      </c>
      <c r="F138" s="5">
        <v>320</v>
      </c>
      <c r="G138" s="33">
        <f t="shared" si="10"/>
        <v>2.1826732494876783E-3</v>
      </c>
      <c r="H138" s="5" t="str">
        <f t="shared" si="11"/>
        <v/>
      </c>
      <c r="I138" s="5" t="str">
        <f t="shared" si="12"/>
        <v/>
      </c>
      <c r="J138" s="5" t="str">
        <f t="shared" si="13"/>
        <v/>
      </c>
      <c r="K138" s="5" t="str">
        <f t="shared" si="14"/>
        <v/>
      </c>
      <c r="S138" s="32" t="s">
        <v>2475</v>
      </c>
      <c r="T138" s="32" t="s">
        <v>1156</v>
      </c>
      <c r="U138" s="32" t="s">
        <v>557</v>
      </c>
      <c r="W138" t="s">
        <v>837</v>
      </c>
      <c r="X138" t="s">
        <v>2476</v>
      </c>
      <c r="Y138" t="s">
        <v>557</v>
      </c>
      <c r="AA138" s="15" t="s">
        <v>840</v>
      </c>
      <c r="AB138" s="15" t="s">
        <v>2440</v>
      </c>
      <c r="AC138" s="15" t="s">
        <v>491</v>
      </c>
      <c r="AE138" t="s">
        <v>1503</v>
      </c>
      <c r="AF138" t="s">
        <v>2477</v>
      </c>
      <c r="AG138" t="s">
        <v>2478</v>
      </c>
      <c r="AH138" t="s">
        <v>491</v>
      </c>
      <c r="AJ138" s="28" t="s">
        <v>768</v>
      </c>
      <c r="AK138" s="28" t="s">
        <v>2377</v>
      </c>
      <c r="AL138" s="28" t="s">
        <v>491</v>
      </c>
      <c r="AM138" s="28"/>
      <c r="AN138" s="28" t="s">
        <v>9</v>
      </c>
      <c r="AO138" s="28"/>
      <c r="AQ138" t="s">
        <v>2414</v>
      </c>
      <c r="AR138" t="s">
        <v>1234</v>
      </c>
      <c r="AS138" t="s">
        <v>2240</v>
      </c>
      <c r="AT138" t="s">
        <v>2241</v>
      </c>
      <c r="AU138">
        <v>2014</v>
      </c>
      <c r="AV138" t="s">
        <v>2242</v>
      </c>
      <c r="AW138">
        <v>233.654</v>
      </c>
    </row>
    <row r="139" spans="1:49" x14ac:dyDescent="0.25">
      <c r="A139" s="5" t="s">
        <v>503</v>
      </c>
      <c r="B139" s="5" t="str">
        <f>INDEX(Regions!B:B,MATCH(A139,Regions!A:A,0))</f>
        <v>Other S&amp;C America</v>
      </c>
      <c r="C139" t="s">
        <v>988</v>
      </c>
      <c r="D139" s="5" t="s">
        <v>989</v>
      </c>
      <c r="E139" s="5" t="s">
        <v>990</v>
      </c>
      <c r="F139" s="5">
        <v>328</v>
      </c>
      <c r="G139" s="33">
        <f t="shared" si="10"/>
        <v>1.0464010614387075E-4</v>
      </c>
      <c r="H139" s="5" t="str">
        <f t="shared" si="11"/>
        <v/>
      </c>
      <c r="I139" s="5" t="str">
        <f t="shared" si="12"/>
        <v/>
      </c>
      <c r="J139" s="5" t="str">
        <f t="shared" si="13"/>
        <v/>
      </c>
      <c r="K139" s="5" t="str">
        <f t="shared" si="14"/>
        <v/>
      </c>
      <c r="S139" s="32" t="e">
        <v>#N/A</v>
      </c>
      <c r="T139" s="32" t="s">
        <v>2414</v>
      </c>
      <c r="U139" s="32" t="e">
        <v>#N/A</v>
      </c>
      <c r="W139" t="s">
        <v>1098</v>
      </c>
      <c r="X139" t="s">
        <v>2479</v>
      </c>
      <c r="Y139" t="s">
        <v>557</v>
      </c>
      <c r="AA139" s="15" t="s">
        <v>490</v>
      </c>
      <c r="AB139" s="15" t="s">
        <v>2480</v>
      </c>
      <c r="AC139" s="15" t="s">
        <v>491</v>
      </c>
      <c r="AE139" t="s">
        <v>2307</v>
      </c>
      <c r="AF139" t="s">
        <v>2481</v>
      </c>
      <c r="AG139" t="s">
        <v>2238</v>
      </c>
      <c r="AH139" t="s">
        <v>563</v>
      </c>
      <c r="AJ139" s="28" t="s">
        <v>1140</v>
      </c>
      <c r="AK139" s="28" t="s">
        <v>2323</v>
      </c>
      <c r="AL139" s="28" t="s">
        <v>542</v>
      </c>
      <c r="AM139" s="28" t="s">
        <v>613</v>
      </c>
      <c r="AN139" s="28" t="s">
        <v>9</v>
      </c>
      <c r="AO139" s="28"/>
      <c r="AQ139" t="s">
        <v>1191</v>
      </c>
      <c r="AR139" t="s">
        <v>1189</v>
      </c>
      <c r="AS139" t="s">
        <v>2240</v>
      </c>
      <c r="AT139" t="s">
        <v>2241</v>
      </c>
      <c r="AU139">
        <v>2014</v>
      </c>
      <c r="AV139" t="s">
        <v>2242</v>
      </c>
      <c r="AW139">
        <v>120355.128</v>
      </c>
    </row>
    <row r="140" spans="1:49" x14ac:dyDescent="0.25">
      <c r="A140" s="5" t="s">
        <v>503</v>
      </c>
      <c r="B140" s="5" t="str">
        <f>INDEX(Regions!B:B,MATCH(A140,Regions!A:A,0))</f>
        <v>Other S&amp;C America</v>
      </c>
      <c r="C140" t="s">
        <v>993</v>
      </c>
      <c r="D140" s="5" t="s">
        <v>994</v>
      </c>
      <c r="E140" s="5" t="s">
        <v>995</v>
      </c>
      <c r="F140" s="5">
        <v>332</v>
      </c>
      <c r="G140" s="33">
        <f t="shared" si="10"/>
        <v>1.446002543258466E-3</v>
      </c>
      <c r="H140" s="5" t="str">
        <f t="shared" si="11"/>
        <v/>
      </c>
      <c r="I140" s="5" t="str">
        <f t="shared" si="12"/>
        <v/>
      </c>
      <c r="J140" s="5" t="str">
        <f t="shared" si="13"/>
        <v/>
      </c>
      <c r="K140" s="5" t="str">
        <f t="shared" si="14"/>
        <v/>
      </c>
      <c r="S140" s="32" t="s">
        <v>2293</v>
      </c>
      <c r="T140" s="32" t="s">
        <v>586</v>
      </c>
      <c r="U140" s="32" t="s">
        <v>517</v>
      </c>
      <c r="W140" t="s">
        <v>1207</v>
      </c>
      <c r="X140" t="s">
        <v>1205</v>
      </c>
      <c r="Y140" t="s">
        <v>557</v>
      </c>
      <c r="AA140" s="15" t="s">
        <v>658</v>
      </c>
      <c r="AB140" s="15" t="s">
        <v>2480</v>
      </c>
      <c r="AC140" s="15" t="s">
        <v>491</v>
      </c>
      <c r="AE140" t="s">
        <v>847</v>
      </c>
      <c r="AF140" t="s">
        <v>2482</v>
      </c>
      <c r="AG140" t="s">
        <v>2478</v>
      </c>
      <c r="AH140" t="s">
        <v>491</v>
      </c>
      <c r="AJ140" s="28" t="s">
        <v>2483</v>
      </c>
      <c r="AK140" s="28" t="s">
        <v>2239</v>
      </c>
      <c r="AL140" s="28" t="s">
        <v>503</v>
      </c>
      <c r="AM140" s="28"/>
      <c r="AN140" s="28" t="s">
        <v>9</v>
      </c>
      <c r="AO140" s="28" t="s">
        <v>2484</v>
      </c>
      <c r="AQ140" t="s">
        <v>1197</v>
      </c>
      <c r="AR140" t="s">
        <v>1195</v>
      </c>
      <c r="AS140" t="s">
        <v>2240</v>
      </c>
      <c r="AT140" t="s">
        <v>2241</v>
      </c>
      <c r="AU140">
        <v>2014</v>
      </c>
      <c r="AV140" t="s">
        <v>2242</v>
      </c>
      <c r="AW140">
        <v>107.446</v>
      </c>
    </row>
    <row r="141" spans="1:49" x14ac:dyDescent="0.25">
      <c r="A141" s="5" t="s">
        <v>503</v>
      </c>
      <c r="B141" s="5" t="str">
        <f>INDEX(Regions!B:B,MATCH(A141,Regions!A:A,0))</f>
        <v>Other S&amp;C America</v>
      </c>
      <c r="C141" t="s">
        <v>1003</v>
      </c>
      <c r="D141" s="5" t="s">
        <v>1004</v>
      </c>
      <c r="E141" s="5" t="s">
        <v>1005</v>
      </c>
      <c r="F141" s="5">
        <v>340</v>
      </c>
      <c r="G141" s="33">
        <f t="shared" si="10"/>
        <v>1.2275849295775123E-3</v>
      </c>
      <c r="H141" s="5" t="str">
        <f t="shared" si="11"/>
        <v/>
      </c>
      <c r="I141" s="5" t="str">
        <f t="shared" si="12"/>
        <v/>
      </c>
      <c r="J141" s="5" t="str">
        <f t="shared" si="13"/>
        <v/>
      </c>
      <c r="K141" s="5" t="str">
        <f t="shared" si="14"/>
        <v/>
      </c>
      <c r="S141" s="32" t="s">
        <v>2288</v>
      </c>
      <c r="T141" s="32" t="s">
        <v>1261</v>
      </c>
      <c r="U141" s="32" t="s">
        <v>481</v>
      </c>
      <c r="W141" t="s">
        <v>1637</v>
      </c>
      <c r="X141" t="s">
        <v>2485</v>
      </c>
      <c r="Y141" t="s">
        <v>557</v>
      </c>
      <c r="AA141" s="15" t="s">
        <v>661</v>
      </c>
      <c r="AB141" s="15" t="s">
        <v>2480</v>
      </c>
      <c r="AC141" s="15" t="s">
        <v>491</v>
      </c>
      <c r="AE141" t="s">
        <v>1679</v>
      </c>
      <c r="AF141" t="s">
        <v>2482</v>
      </c>
      <c r="AG141" t="s">
        <v>2478</v>
      </c>
      <c r="AH141" t="s">
        <v>491</v>
      </c>
      <c r="AJ141" s="28" t="s">
        <v>1222</v>
      </c>
      <c r="AK141" s="28" t="s">
        <v>2372</v>
      </c>
      <c r="AL141" s="28" t="s">
        <v>500</v>
      </c>
      <c r="AM141" s="28" t="s">
        <v>605</v>
      </c>
      <c r="AN141" s="28" t="s">
        <v>9</v>
      </c>
      <c r="AO141" s="28"/>
      <c r="AQ141" t="s">
        <v>1202</v>
      </c>
      <c r="AR141" t="s">
        <v>1200</v>
      </c>
      <c r="AS141" t="s">
        <v>2240</v>
      </c>
      <c r="AT141" t="s">
        <v>2241</v>
      </c>
      <c r="AU141">
        <v>2014</v>
      </c>
      <c r="AV141" t="s">
        <v>2242</v>
      </c>
      <c r="AW141">
        <v>37.322000000000003</v>
      </c>
    </row>
    <row r="142" spans="1:49" x14ac:dyDescent="0.25">
      <c r="A142" s="5" t="s">
        <v>503</v>
      </c>
      <c r="B142" s="5" t="str">
        <f>INDEX(Regions!B:B,MATCH(A142,Regions!A:A,0))</f>
        <v>Other S&amp;C America</v>
      </c>
      <c r="C142" t="s">
        <v>1054</v>
      </c>
      <c r="D142" s="5" t="s">
        <v>1055</v>
      </c>
      <c r="E142" s="5" t="s">
        <v>1056</v>
      </c>
      <c r="F142" s="5">
        <v>388</v>
      </c>
      <c r="G142" s="33">
        <f t="shared" si="10"/>
        <v>3.9410889745393176E-4</v>
      </c>
      <c r="H142" s="5" t="str">
        <f t="shared" si="11"/>
        <v/>
      </c>
      <c r="I142" s="5" t="str">
        <f t="shared" si="12"/>
        <v/>
      </c>
      <c r="J142" s="5" t="str">
        <f t="shared" si="13"/>
        <v/>
      </c>
      <c r="K142" s="5" t="str">
        <f t="shared" si="14"/>
        <v/>
      </c>
      <c r="S142" s="32" t="s">
        <v>2246</v>
      </c>
      <c r="T142" s="32" t="s">
        <v>1276</v>
      </c>
      <c r="U142" s="32" t="s">
        <v>517</v>
      </c>
      <c r="W142" t="s">
        <v>1372</v>
      </c>
      <c r="X142" t="s">
        <v>2486</v>
      </c>
      <c r="Y142" t="s">
        <v>511</v>
      </c>
      <c r="AA142" s="15" t="s">
        <v>728</v>
      </c>
      <c r="AB142" s="15" t="s">
        <v>2480</v>
      </c>
      <c r="AC142" s="15" t="s">
        <v>491</v>
      </c>
      <c r="AE142" t="s">
        <v>1020</v>
      </c>
      <c r="AF142" t="s">
        <v>2487</v>
      </c>
      <c r="AG142" t="s">
        <v>2478</v>
      </c>
      <c r="AH142" t="s">
        <v>491</v>
      </c>
      <c r="AJ142" s="28" t="s">
        <v>1202</v>
      </c>
      <c r="AK142" s="28" t="s">
        <v>2387</v>
      </c>
      <c r="AL142" s="28" t="s">
        <v>491</v>
      </c>
      <c r="AM142" s="28"/>
      <c r="AN142" s="28" t="s">
        <v>9</v>
      </c>
      <c r="AO142" s="28"/>
      <c r="AQ142" t="s">
        <v>1207</v>
      </c>
      <c r="AR142" t="s">
        <v>1205</v>
      </c>
      <c r="AS142" t="s">
        <v>2240</v>
      </c>
      <c r="AT142" t="s">
        <v>2241</v>
      </c>
      <c r="AU142">
        <v>2014</v>
      </c>
      <c r="AV142" t="s">
        <v>2242</v>
      </c>
      <c r="AW142">
        <v>2940.1080000000002</v>
      </c>
    </row>
    <row r="143" spans="1:49" x14ac:dyDescent="0.25">
      <c r="A143" s="5" t="s">
        <v>503</v>
      </c>
      <c r="B143" s="5" t="str">
        <f>INDEX(Regions!B:B,MATCH(A143,Regions!A:A,0))</f>
        <v>Other S&amp;C America</v>
      </c>
      <c r="C143" t="s">
        <v>1189</v>
      </c>
      <c r="D143" s="5" t="s">
        <v>1190</v>
      </c>
      <c r="E143" s="5" t="s">
        <v>1191</v>
      </c>
      <c r="F143" s="5">
        <v>484</v>
      </c>
      <c r="G143" s="33">
        <f t="shared" si="10"/>
        <v>1.6497646478659578E-2</v>
      </c>
      <c r="H143" s="5" t="str">
        <f t="shared" si="11"/>
        <v/>
      </c>
      <c r="I143" s="5" t="str">
        <f t="shared" si="12"/>
        <v/>
      </c>
      <c r="J143" s="5" t="str">
        <f t="shared" si="13"/>
        <v/>
      </c>
      <c r="K143" s="5" t="str">
        <f t="shared" si="14"/>
        <v/>
      </c>
      <c r="S143" s="32" t="e">
        <v>#N/A</v>
      </c>
      <c r="T143" s="32" t="s">
        <v>2254</v>
      </c>
      <c r="U143" s="32" t="e">
        <v>#N/A</v>
      </c>
      <c r="W143" t="s">
        <v>1464</v>
      </c>
      <c r="X143" t="s">
        <v>2488</v>
      </c>
      <c r="Y143" t="s">
        <v>517</v>
      </c>
      <c r="AA143" s="15" t="s">
        <v>668</v>
      </c>
      <c r="AB143" s="15" t="s">
        <v>2480</v>
      </c>
      <c r="AC143" s="15" t="s">
        <v>491</v>
      </c>
      <c r="AE143" t="s">
        <v>1128</v>
      </c>
      <c r="AF143" t="s">
        <v>2487</v>
      </c>
      <c r="AG143" t="s">
        <v>2478</v>
      </c>
      <c r="AH143" t="s">
        <v>491</v>
      </c>
      <c r="AJ143" s="28" t="s">
        <v>1359</v>
      </c>
      <c r="AK143" s="28" t="s">
        <v>1359</v>
      </c>
      <c r="AL143" s="28" t="s">
        <v>511</v>
      </c>
      <c r="AM143" s="28"/>
      <c r="AN143" s="28" t="s">
        <v>9</v>
      </c>
      <c r="AO143" s="28"/>
      <c r="AQ143" t="s">
        <v>1212</v>
      </c>
      <c r="AR143" t="s">
        <v>1210</v>
      </c>
      <c r="AS143" t="s">
        <v>2240</v>
      </c>
      <c r="AT143" t="s">
        <v>2241</v>
      </c>
      <c r="AU143">
        <v>2014</v>
      </c>
      <c r="AV143" t="s">
        <v>2242</v>
      </c>
      <c r="AW143">
        <v>626.64499999999998</v>
      </c>
    </row>
    <row r="144" spans="1:49" x14ac:dyDescent="0.25">
      <c r="A144" s="5" t="s">
        <v>503</v>
      </c>
      <c r="B144" s="5" t="str">
        <f>INDEX(Regions!B:B,MATCH(A144,Regions!A:A,0))</f>
        <v>Other S&amp;C America</v>
      </c>
      <c r="C144" t="s">
        <v>1215</v>
      </c>
      <c r="D144" s="5" t="s">
        <v>1216</v>
      </c>
      <c r="E144" s="5" t="s">
        <v>1217</v>
      </c>
      <c r="F144" s="5">
        <v>500</v>
      </c>
      <c r="G144" s="33">
        <f t="shared" si="10"/>
        <v>6.7947942853515588E-7</v>
      </c>
      <c r="H144" s="5" t="str">
        <f t="shared" si="11"/>
        <v>NotAccounted</v>
      </c>
      <c r="I144" s="5" t="str">
        <f t="shared" si="12"/>
        <v/>
      </c>
      <c r="J144" s="5" t="e">
        <f t="shared" si="13"/>
        <v>#N/A</v>
      </c>
      <c r="K144" s="5" t="str">
        <f t="shared" si="14"/>
        <v/>
      </c>
      <c r="S144" s="32" t="s">
        <v>1282</v>
      </c>
      <c r="T144" s="32" t="s">
        <v>1282</v>
      </c>
      <c r="U144" s="32" t="s">
        <v>517</v>
      </c>
      <c r="W144" t="s">
        <v>516</v>
      </c>
      <c r="X144" t="s">
        <v>514</v>
      </c>
      <c r="Y144" t="s">
        <v>517</v>
      </c>
      <c r="AA144" s="15" t="s">
        <v>673</v>
      </c>
      <c r="AB144" s="15" t="s">
        <v>2480</v>
      </c>
      <c r="AC144" s="15" t="s">
        <v>491</v>
      </c>
      <c r="AE144" t="s">
        <v>490</v>
      </c>
      <c r="AF144" t="s">
        <v>2489</v>
      </c>
      <c r="AG144" t="s">
        <v>2490</v>
      </c>
      <c r="AH144" t="s">
        <v>491</v>
      </c>
      <c r="AJ144" s="28" t="s">
        <v>1146</v>
      </c>
      <c r="AK144" s="28" t="s">
        <v>1146</v>
      </c>
      <c r="AL144" s="28" t="s">
        <v>517</v>
      </c>
      <c r="AM144" s="28" t="s">
        <v>605</v>
      </c>
      <c r="AN144" s="28" t="s">
        <v>9</v>
      </c>
      <c r="AO144" s="28"/>
      <c r="AQ144" t="s">
        <v>1217</v>
      </c>
      <c r="AR144" t="s">
        <v>1215</v>
      </c>
      <c r="AS144" t="s">
        <v>2240</v>
      </c>
      <c r="AT144" t="s">
        <v>2241</v>
      </c>
      <c r="AU144">
        <v>2014</v>
      </c>
      <c r="AV144" t="s">
        <v>2242</v>
      </c>
      <c r="AW144">
        <v>4.9569999999999999</v>
      </c>
    </row>
    <row r="145" spans="1:49" x14ac:dyDescent="0.25">
      <c r="A145" s="5" t="s">
        <v>503</v>
      </c>
      <c r="B145" s="5" t="str">
        <f>INDEX(Regions!B:B,MATCH(A145,Regions!A:A,0))</f>
        <v>Other S&amp;C America</v>
      </c>
      <c r="C145" t="s">
        <v>1253</v>
      </c>
      <c r="D145" s="5" t="e">
        <v>#N/A</v>
      </c>
      <c r="E145" s="5" t="s">
        <v>1254</v>
      </c>
      <c r="F145" s="5" t="e">
        <v>#N/A</v>
      </c>
      <c r="G145" s="33">
        <f t="shared" si="10"/>
        <v>3.6599774923433087E-5</v>
      </c>
      <c r="H145" s="5" t="str">
        <f t="shared" si="11"/>
        <v>NotAccounted</v>
      </c>
      <c r="I145" s="5" t="str">
        <f t="shared" si="12"/>
        <v/>
      </c>
      <c r="J145" s="5" t="e">
        <f t="shared" si="13"/>
        <v>#N/A</v>
      </c>
      <c r="K145" s="5" t="str">
        <f t="shared" si="14"/>
        <v/>
      </c>
      <c r="S145" s="32" t="s">
        <v>2285</v>
      </c>
      <c r="T145" s="32" t="s">
        <v>1271</v>
      </c>
      <c r="U145" s="32" t="s">
        <v>503</v>
      </c>
      <c r="W145" t="s">
        <v>664</v>
      </c>
      <c r="X145" t="s">
        <v>662</v>
      </c>
      <c r="Y145" t="s">
        <v>517</v>
      </c>
      <c r="AA145" s="15" t="s">
        <v>701</v>
      </c>
      <c r="AB145" s="15" t="s">
        <v>2480</v>
      </c>
      <c r="AC145" s="15" t="s">
        <v>491</v>
      </c>
      <c r="AE145" t="s">
        <v>661</v>
      </c>
      <c r="AF145" t="s">
        <v>2491</v>
      </c>
      <c r="AG145" t="s">
        <v>2437</v>
      </c>
      <c r="AH145" t="s">
        <v>491</v>
      </c>
      <c r="AJ145" s="28" t="s">
        <v>1161</v>
      </c>
      <c r="AK145" s="28" t="s">
        <v>2276</v>
      </c>
      <c r="AL145" s="28" t="s">
        <v>517</v>
      </c>
      <c r="AM145" s="28"/>
      <c r="AN145" s="28" t="s">
        <v>9</v>
      </c>
      <c r="AO145" s="28" t="s">
        <v>2419</v>
      </c>
      <c r="AQ145" t="s">
        <v>1222</v>
      </c>
      <c r="AR145" t="s">
        <v>1220</v>
      </c>
      <c r="AS145" t="s">
        <v>2240</v>
      </c>
      <c r="AT145" t="s">
        <v>2241</v>
      </c>
      <c r="AU145">
        <v>2014</v>
      </c>
      <c r="AV145" t="s">
        <v>2242</v>
      </c>
      <c r="AW145">
        <v>34192.357000000004</v>
      </c>
    </row>
    <row r="146" spans="1:49" x14ac:dyDescent="0.25">
      <c r="A146" s="5" t="s">
        <v>503</v>
      </c>
      <c r="B146" s="5" t="str">
        <f>INDEX(Regions!B:B,MATCH(A146,Regions!A:A,0))</f>
        <v>Other S&amp;C America</v>
      </c>
      <c r="C146" t="s">
        <v>1269</v>
      </c>
      <c r="D146" s="5" t="s">
        <v>1270</v>
      </c>
      <c r="E146" s="5" t="s">
        <v>1271</v>
      </c>
      <c r="F146" s="5">
        <v>558</v>
      </c>
      <c r="G146" s="33">
        <f t="shared" si="10"/>
        <v>8.4201318328125613E-4</v>
      </c>
      <c r="H146" s="5" t="str">
        <f t="shared" si="11"/>
        <v/>
      </c>
      <c r="I146" s="5" t="str">
        <f t="shared" si="12"/>
        <v/>
      </c>
      <c r="J146" s="5" t="str">
        <f t="shared" si="13"/>
        <v/>
      </c>
      <c r="K146" s="5" t="str">
        <f t="shared" si="14"/>
        <v/>
      </c>
      <c r="S146" s="32" t="e">
        <v>#N/A</v>
      </c>
      <c r="T146" s="32" t="s">
        <v>1287</v>
      </c>
      <c r="U146" s="32" t="e">
        <v>#N/A</v>
      </c>
      <c r="W146" t="s">
        <v>779</v>
      </c>
      <c r="X146" t="s">
        <v>777</v>
      </c>
      <c r="Y146" t="s">
        <v>517</v>
      </c>
      <c r="AA146" s="15" t="s">
        <v>735</v>
      </c>
      <c r="AB146" s="15" t="s">
        <v>2480</v>
      </c>
      <c r="AC146" s="15" t="s">
        <v>491</v>
      </c>
      <c r="AE146" t="s">
        <v>618</v>
      </c>
      <c r="AF146" t="s">
        <v>2492</v>
      </c>
      <c r="AG146" t="s">
        <v>1590</v>
      </c>
      <c r="AH146" t="s">
        <v>511</v>
      </c>
      <c r="AJ146" s="28" t="s">
        <v>1191</v>
      </c>
      <c r="AK146" s="28" t="s">
        <v>1191</v>
      </c>
      <c r="AL146" s="28" t="s">
        <v>503</v>
      </c>
      <c r="AM146" s="28" t="s">
        <v>595</v>
      </c>
      <c r="AN146" s="28" t="s">
        <v>9</v>
      </c>
      <c r="AO146" s="28"/>
      <c r="AQ146" t="s">
        <v>1227</v>
      </c>
      <c r="AR146" t="s">
        <v>1225</v>
      </c>
      <c r="AS146" t="s">
        <v>2240</v>
      </c>
      <c r="AT146" t="s">
        <v>2241</v>
      </c>
      <c r="AU146">
        <v>2014</v>
      </c>
      <c r="AV146" t="s">
        <v>2242</v>
      </c>
      <c r="AW146">
        <v>26286.190999999999</v>
      </c>
    </row>
    <row r="147" spans="1:49" x14ac:dyDescent="0.25">
      <c r="A147" s="5" t="s">
        <v>503</v>
      </c>
      <c r="B147" s="5" t="str">
        <f>INDEX(Regions!B:B,MATCH(A147,Regions!A:A,0))</f>
        <v>Other S&amp;C America</v>
      </c>
      <c r="C147" t="s">
        <v>1314</v>
      </c>
      <c r="D147" s="5" t="s">
        <v>1315</v>
      </c>
      <c r="E147" s="5" t="s">
        <v>1316</v>
      </c>
      <c r="F147" s="5">
        <v>591</v>
      </c>
      <c r="G147" s="33">
        <f t="shared" si="10"/>
        <v>5.3477155684006513E-4</v>
      </c>
      <c r="H147" s="5" t="str">
        <f t="shared" si="11"/>
        <v/>
      </c>
      <c r="I147" s="5" t="str">
        <f t="shared" si="12"/>
        <v/>
      </c>
      <c r="J147" s="5" t="str">
        <f t="shared" si="13"/>
        <v/>
      </c>
      <c r="K147" s="5" t="str">
        <f t="shared" si="14"/>
        <v/>
      </c>
      <c r="S147" s="32" t="s">
        <v>2493</v>
      </c>
      <c r="T147" s="32" t="s">
        <v>169</v>
      </c>
      <c r="U147" s="32" t="s">
        <v>491</v>
      </c>
      <c r="W147" t="s">
        <v>1111</v>
      </c>
      <c r="X147" t="s">
        <v>1109</v>
      </c>
      <c r="Y147" t="s">
        <v>517</v>
      </c>
      <c r="AA147" s="15" t="s">
        <v>768</v>
      </c>
      <c r="AB147" s="15" t="s">
        <v>2480</v>
      </c>
      <c r="AC147" s="15" t="s">
        <v>491</v>
      </c>
      <c r="AE147" t="s">
        <v>728</v>
      </c>
      <c r="AF147" t="s">
        <v>2494</v>
      </c>
      <c r="AG147" t="s">
        <v>2437</v>
      </c>
      <c r="AH147" t="s">
        <v>491</v>
      </c>
      <c r="AJ147" s="28" t="s">
        <v>1175</v>
      </c>
      <c r="AK147" s="28" t="s">
        <v>2270</v>
      </c>
      <c r="AL147" s="28" t="s">
        <v>481</v>
      </c>
      <c r="AM147" s="28"/>
      <c r="AN147" s="28" t="s">
        <v>9</v>
      </c>
      <c r="AO147" s="28"/>
      <c r="AQ147" t="s">
        <v>1232</v>
      </c>
      <c r="AR147" t="s">
        <v>2466</v>
      </c>
      <c r="AS147" t="s">
        <v>2240</v>
      </c>
      <c r="AT147" t="s">
        <v>2241</v>
      </c>
      <c r="AU147">
        <v>2014</v>
      </c>
      <c r="AV147" t="s">
        <v>2242</v>
      </c>
      <c r="AW147">
        <v>52280.824000000001</v>
      </c>
    </row>
    <row r="148" spans="1:49" x14ac:dyDescent="0.25">
      <c r="A148" s="5" t="s">
        <v>503</v>
      </c>
      <c r="B148" s="5" t="str">
        <f>INDEX(Regions!B:B,MATCH(A148,Regions!A:A,0))</f>
        <v>Other S&amp;C America</v>
      </c>
      <c r="C148" t="s">
        <v>1325</v>
      </c>
      <c r="D148" s="5" t="s">
        <v>1326</v>
      </c>
      <c r="E148" s="5" t="s">
        <v>1327</v>
      </c>
      <c r="F148" s="5">
        <v>600</v>
      </c>
      <c r="G148" s="33">
        <f t="shared" si="10"/>
        <v>9.0462823382749706E-4</v>
      </c>
      <c r="H148" s="5" t="str">
        <f t="shared" si="11"/>
        <v/>
      </c>
      <c r="I148" s="5" t="str">
        <f t="shared" si="12"/>
        <v/>
      </c>
      <c r="J148" s="5" t="str">
        <f t="shared" si="13"/>
        <v/>
      </c>
      <c r="K148" s="5" t="str">
        <f t="shared" si="14"/>
        <v/>
      </c>
      <c r="S148" s="32" t="s">
        <v>2495</v>
      </c>
      <c r="T148" s="32" t="s">
        <v>847</v>
      </c>
      <c r="U148" s="32" t="s">
        <v>491</v>
      </c>
      <c r="W148" t="s">
        <v>1146</v>
      </c>
      <c r="X148" t="s">
        <v>1144</v>
      </c>
      <c r="Y148" t="s">
        <v>517</v>
      </c>
      <c r="AA148" s="15" t="s">
        <v>756</v>
      </c>
      <c r="AB148" s="15" t="s">
        <v>2480</v>
      </c>
      <c r="AC148" s="15" t="s">
        <v>491</v>
      </c>
      <c r="AE148" t="s">
        <v>803</v>
      </c>
      <c r="AF148" t="s">
        <v>2496</v>
      </c>
      <c r="AG148" t="s">
        <v>2437</v>
      </c>
      <c r="AH148" t="s">
        <v>491</v>
      </c>
      <c r="AJ148" s="28" t="s">
        <v>1525</v>
      </c>
      <c r="AK148" s="28" t="s">
        <v>2289</v>
      </c>
      <c r="AL148" s="28" t="s">
        <v>491</v>
      </c>
      <c r="AM148" s="28"/>
      <c r="AN148" s="28" t="s">
        <v>9</v>
      </c>
      <c r="AO148" s="28"/>
      <c r="AQ148" t="s">
        <v>586</v>
      </c>
      <c r="AR148" t="s">
        <v>1235</v>
      </c>
      <c r="AS148" t="s">
        <v>2240</v>
      </c>
      <c r="AT148" t="s">
        <v>2241</v>
      </c>
      <c r="AU148">
        <v>2014</v>
      </c>
      <c r="AV148" t="s">
        <v>2242</v>
      </c>
      <c r="AW148">
        <v>2273.4229999999998</v>
      </c>
    </row>
    <row r="149" spans="1:49" x14ac:dyDescent="0.25">
      <c r="A149" s="5" t="s">
        <v>503</v>
      </c>
      <c r="B149" s="5" t="str">
        <f>INDEX(Regions!B:B,MATCH(A149,Regions!A:A,0))</f>
        <v>Other S&amp;C America</v>
      </c>
      <c r="C149" t="s">
        <v>1330</v>
      </c>
      <c r="D149" s="5" t="s">
        <v>1331</v>
      </c>
      <c r="E149" s="5" t="s">
        <v>1332</v>
      </c>
      <c r="F149" s="5">
        <v>604</v>
      </c>
      <c r="G149" s="33">
        <f t="shared" si="10"/>
        <v>4.1246277865115361E-3</v>
      </c>
      <c r="H149" s="5" t="str">
        <f t="shared" si="11"/>
        <v/>
      </c>
      <c r="I149" s="5" t="str">
        <f t="shared" si="12"/>
        <v/>
      </c>
      <c r="J149" s="5" t="str">
        <f t="shared" si="13"/>
        <v/>
      </c>
      <c r="K149" s="5" t="str">
        <f t="shared" si="14"/>
        <v/>
      </c>
      <c r="S149" s="32" t="s">
        <v>2243</v>
      </c>
      <c r="T149" s="32" t="s">
        <v>1247</v>
      </c>
      <c r="U149" s="32" t="s">
        <v>481</v>
      </c>
      <c r="W149" t="s">
        <v>1151</v>
      </c>
      <c r="X149" t="s">
        <v>1149</v>
      </c>
      <c r="Y149" t="s">
        <v>517</v>
      </c>
      <c r="AA149" s="15" t="s">
        <v>1525</v>
      </c>
      <c r="AB149" s="15" t="s">
        <v>2480</v>
      </c>
      <c r="AC149" s="15" t="s">
        <v>491</v>
      </c>
      <c r="AE149" t="s">
        <v>1372</v>
      </c>
      <c r="AF149" t="s">
        <v>2497</v>
      </c>
      <c r="AG149" t="s">
        <v>2498</v>
      </c>
      <c r="AH149" t="s">
        <v>511</v>
      </c>
      <c r="AJ149" s="28" t="s">
        <v>1166</v>
      </c>
      <c r="AK149" s="28" t="s">
        <v>1166</v>
      </c>
      <c r="AL149" s="28" t="s">
        <v>517</v>
      </c>
      <c r="AM149" s="28" t="s">
        <v>605</v>
      </c>
      <c r="AN149" s="28" t="s">
        <v>9</v>
      </c>
      <c r="AO149" s="28"/>
      <c r="AQ149" t="s">
        <v>1242</v>
      </c>
      <c r="AR149" t="s">
        <v>1240</v>
      </c>
      <c r="AS149" t="s">
        <v>2240</v>
      </c>
      <c r="AT149" t="s">
        <v>2241</v>
      </c>
      <c r="AU149">
        <v>2014</v>
      </c>
      <c r="AV149" t="s">
        <v>2242</v>
      </c>
      <c r="AW149">
        <v>10.289</v>
      </c>
    </row>
    <row r="150" spans="1:49" x14ac:dyDescent="0.25">
      <c r="A150" s="5" t="s">
        <v>503</v>
      </c>
      <c r="B150" s="5" t="str">
        <f>INDEX(Regions!B:B,MATCH(A150,Regions!A:A,0))</f>
        <v>Other S&amp;C America</v>
      </c>
      <c r="C150" t="s">
        <v>1379</v>
      </c>
      <c r="D150" s="5" t="s">
        <v>1380</v>
      </c>
      <c r="E150" s="5" t="s">
        <v>1381</v>
      </c>
      <c r="F150" s="5">
        <v>659</v>
      </c>
      <c r="G150" s="33">
        <f t="shared" si="10"/>
        <v>6.9598322583102696E-6</v>
      </c>
      <c r="H150" s="5" t="str">
        <f t="shared" si="11"/>
        <v>NotAccounted</v>
      </c>
      <c r="I150" s="5" t="str">
        <f t="shared" si="12"/>
        <v/>
      </c>
      <c r="J150" s="5" t="str">
        <f t="shared" si="13"/>
        <v/>
      </c>
      <c r="K150" s="5" t="str">
        <f t="shared" si="14"/>
        <v/>
      </c>
      <c r="S150" s="32" t="e">
        <v>#N/A</v>
      </c>
      <c r="T150" s="32" t="s">
        <v>1242</v>
      </c>
      <c r="U150" s="32" t="e">
        <v>#N/A</v>
      </c>
      <c r="W150" t="s">
        <v>1186</v>
      </c>
      <c r="X150" t="s">
        <v>1184</v>
      </c>
      <c r="Y150" t="s">
        <v>517</v>
      </c>
      <c r="AA150" s="15" t="s">
        <v>775</v>
      </c>
      <c r="AB150" s="15" t="s">
        <v>2480</v>
      </c>
      <c r="AC150" s="15" t="s">
        <v>491</v>
      </c>
      <c r="AE150" t="s">
        <v>1590</v>
      </c>
      <c r="AF150" t="s">
        <v>2499</v>
      </c>
      <c r="AG150" t="s">
        <v>1590</v>
      </c>
      <c r="AH150" t="s">
        <v>511</v>
      </c>
      <c r="AJ150" s="28" t="s">
        <v>775</v>
      </c>
      <c r="AK150" s="28" t="s">
        <v>2443</v>
      </c>
      <c r="AL150" s="28" t="s">
        <v>491</v>
      </c>
      <c r="AM150" s="28"/>
      <c r="AN150" s="28" t="s">
        <v>9</v>
      </c>
      <c r="AO150" s="28"/>
      <c r="AQ150" t="s">
        <v>1247</v>
      </c>
      <c r="AR150" t="s">
        <v>1245</v>
      </c>
      <c r="AS150" t="s">
        <v>2240</v>
      </c>
      <c r="AT150" t="s">
        <v>2241</v>
      </c>
      <c r="AU150">
        <v>2014</v>
      </c>
      <c r="AV150" t="s">
        <v>2242</v>
      </c>
      <c r="AW150">
        <v>26905.977999999999</v>
      </c>
    </row>
    <row r="151" spans="1:49" x14ac:dyDescent="0.25">
      <c r="A151" s="5" t="s">
        <v>503</v>
      </c>
      <c r="B151" s="5" t="str">
        <f>INDEX(Regions!B:B,MATCH(A151,Regions!A:A,0))</f>
        <v>Other S&amp;C America</v>
      </c>
      <c r="C151" t="s">
        <v>1386</v>
      </c>
      <c r="D151" s="5" t="s">
        <v>1387</v>
      </c>
      <c r="E151" s="5" t="s">
        <v>1388</v>
      </c>
      <c r="F151" s="5">
        <v>662</v>
      </c>
      <c r="G151" s="33">
        <f t="shared" si="10"/>
        <v>2.4439875769639731E-5</v>
      </c>
      <c r="H151" s="5" t="str">
        <f t="shared" si="11"/>
        <v>NotAccounted</v>
      </c>
      <c r="I151" s="5" t="str">
        <f t="shared" si="12"/>
        <v/>
      </c>
      <c r="J151" s="5" t="str">
        <f t="shared" si="13"/>
        <v/>
      </c>
      <c r="K151" s="5" t="str">
        <f t="shared" si="14"/>
        <v/>
      </c>
      <c r="S151" s="32" t="s">
        <v>1266</v>
      </c>
      <c r="T151" s="32" t="s">
        <v>1266</v>
      </c>
      <c r="U151" s="32" t="s">
        <v>563</v>
      </c>
      <c r="W151" t="s">
        <v>1227</v>
      </c>
      <c r="X151" t="s">
        <v>1225</v>
      </c>
      <c r="Y151" t="s">
        <v>517</v>
      </c>
      <c r="AA151" s="15" t="s">
        <v>788</v>
      </c>
      <c r="AB151" s="15" t="s">
        <v>2480</v>
      </c>
      <c r="AC151" s="15" t="s">
        <v>491</v>
      </c>
      <c r="AE151" t="s">
        <v>1359</v>
      </c>
      <c r="AF151" t="s">
        <v>2500</v>
      </c>
      <c r="AG151" t="s">
        <v>1590</v>
      </c>
      <c r="AH151" t="s">
        <v>511</v>
      </c>
      <c r="AJ151" s="28" t="s">
        <v>1232</v>
      </c>
      <c r="AK151" s="28" t="s">
        <v>1232</v>
      </c>
      <c r="AL151" s="28" t="s">
        <v>557</v>
      </c>
      <c r="AM151" s="28" t="s">
        <v>613</v>
      </c>
      <c r="AN151" s="28" t="s">
        <v>9</v>
      </c>
      <c r="AO151" s="28"/>
      <c r="AQ151" t="s">
        <v>169</v>
      </c>
      <c r="AR151" t="s">
        <v>782</v>
      </c>
      <c r="AS151" t="s">
        <v>2240</v>
      </c>
      <c r="AT151" t="s">
        <v>2241</v>
      </c>
      <c r="AU151">
        <v>2014</v>
      </c>
      <c r="AV151" t="s">
        <v>2242</v>
      </c>
      <c r="AW151">
        <v>16892.523000000001</v>
      </c>
    </row>
    <row r="152" spans="1:49" x14ac:dyDescent="0.25">
      <c r="A152" s="5" t="s">
        <v>503</v>
      </c>
      <c r="B152" s="5" t="str">
        <f>INDEX(Regions!B:B,MATCH(A152,Regions!A:A,0))</f>
        <v>Other S&amp;C America</v>
      </c>
      <c r="C152" t="s">
        <v>1391</v>
      </c>
      <c r="D152" s="5" t="s">
        <v>1392</v>
      </c>
      <c r="E152" s="5" t="s">
        <v>1393</v>
      </c>
      <c r="F152" s="5">
        <v>670</v>
      </c>
      <c r="G152" s="33">
        <f t="shared" si="10"/>
        <v>1.4922092005197823E-5</v>
      </c>
      <c r="H152" s="5" t="str">
        <f t="shared" si="11"/>
        <v>NotAccounted</v>
      </c>
      <c r="I152" s="5" t="str">
        <f t="shared" si="12"/>
        <v/>
      </c>
      <c r="J152" s="5" t="str">
        <f t="shared" si="13"/>
        <v/>
      </c>
      <c r="K152" s="5" t="str">
        <f t="shared" si="14"/>
        <v/>
      </c>
      <c r="S152" s="32" t="s">
        <v>2253</v>
      </c>
      <c r="T152" s="32" t="s">
        <v>1295</v>
      </c>
      <c r="U152" s="32" t="s">
        <v>500</v>
      </c>
      <c r="W152" t="s">
        <v>586</v>
      </c>
      <c r="X152" t="s">
        <v>1235</v>
      </c>
      <c r="Y152" t="s">
        <v>517</v>
      </c>
      <c r="AA152" s="15" t="s">
        <v>2501</v>
      </c>
      <c r="AB152" s="15" t="s">
        <v>2480</v>
      </c>
      <c r="AC152" s="15" t="s">
        <v>491</v>
      </c>
      <c r="AE152" t="s">
        <v>508</v>
      </c>
      <c r="AF152" t="s">
        <v>2502</v>
      </c>
      <c r="AG152" t="s">
        <v>2490</v>
      </c>
      <c r="AH152" t="s">
        <v>491</v>
      </c>
      <c r="AJ152" s="28" t="s">
        <v>1212</v>
      </c>
      <c r="AK152" s="28" t="s">
        <v>2289</v>
      </c>
      <c r="AL152" s="28" t="s">
        <v>491</v>
      </c>
      <c r="AM152" s="28"/>
      <c r="AN152" s="28" t="s">
        <v>9</v>
      </c>
      <c r="AO152" s="28"/>
      <c r="AQ152" t="s">
        <v>1254</v>
      </c>
      <c r="AR152" t="s">
        <v>2503</v>
      </c>
      <c r="AS152" t="s">
        <v>2240</v>
      </c>
      <c r="AT152" t="s">
        <v>2241</v>
      </c>
      <c r="AU152">
        <v>2014</v>
      </c>
      <c r="AV152" t="s">
        <v>2242</v>
      </c>
      <c r="AW152">
        <v>267.00599999999997</v>
      </c>
    </row>
    <row r="153" spans="1:49" x14ac:dyDescent="0.25">
      <c r="A153" s="5" t="s">
        <v>503</v>
      </c>
      <c r="B153" s="5" t="str">
        <f>INDEX(Regions!B:B,MATCH(A153,Regions!A:A,0))</f>
        <v>Other S&amp;C America</v>
      </c>
      <c r="C153" t="s">
        <v>1486</v>
      </c>
      <c r="D153" s="5" t="s">
        <v>1487</v>
      </c>
      <c r="E153" s="5" t="s">
        <v>1488</v>
      </c>
      <c r="F153" s="5">
        <v>740</v>
      </c>
      <c r="G153" s="33">
        <f t="shared" si="10"/>
        <v>7.5839746190020435E-5</v>
      </c>
      <c r="H153" s="5" t="str">
        <f t="shared" si="11"/>
        <v/>
      </c>
      <c r="I153" s="5" t="str">
        <f t="shared" si="12"/>
        <v/>
      </c>
      <c r="J153" s="5" t="str">
        <f t="shared" si="13"/>
        <v/>
      </c>
      <c r="K153" s="5" t="str">
        <f t="shared" si="14"/>
        <v/>
      </c>
      <c r="S153" s="32" t="s">
        <v>1300</v>
      </c>
      <c r="T153" s="32" t="s">
        <v>1300</v>
      </c>
      <c r="U153" s="32" t="s">
        <v>481</v>
      </c>
      <c r="W153" t="s">
        <v>853</v>
      </c>
      <c r="X153" t="s">
        <v>1362</v>
      </c>
      <c r="Y153" t="s">
        <v>517</v>
      </c>
      <c r="AA153" s="15" t="s">
        <v>810</v>
      </c>
      <c r="AB153" s="15" t="s">
        <v>2480</v>
      </c>
      <c r="AC153" s="15" t="s">
        <v>491</v>
      </c>
      <c r="AE153" t="s">
        <v>658</v>
      </c>
      <c r="AF153" t="s">
        <v>2502</v>
      </c>
      <c r="AG153" t="s">
        <v>2490</v>
      </c>
      <c r="AH153" t="s">
        <v>491</v>
      </c>
      <c r="AJ153" s="28" t="s">
        <v>1207</v>
      </c>
      <c r="AK153" s="28" t="s">
        <v>1207</v>
      </c>
      <c r="AL153" s="28" t="s">
        <v>481</v>
      </c>
      <c r="AM153" s="28" t="s">
        <v>613</v>
      </c>
      <c r="AN153" s="28" t="s">
        <v>9</v>
      </c>
      <c r="AO153" s="28"/>
      <c r="AQ153" t="s">
        <v>1261</v>
      </c>
      <c r="AR153" t="s">
        <v>1259</v>
      </c>
      <c r="AS153" t="s">
        <v>2240</v>
      </c>
      <c r="AT153" t="s">
        <v>2241</v>
      </c>
      <c r="AU153">
        <v>2014</v>
      </c>
      <c r="AV153" t="s">
        <v>2242</v>
      </c>
      <c r="AW153">
        <v>267.73899999999998</v>
      </c>
    </row>
    <row r="154" spans="1:49" x14ac:dyDescent="0.25">
      <c r="A154" s="5" t="s">
        <v>503</v>
      </c>
      <c r="B154" s="5" t="str">
        <f>INDEX(Regions!B:B,MATCH(A154,Regions!A:A,0))</f>
        <v>Other S&amp;C America</v>
      </c>
      <c r="C154" t="s">
        <v>1551</v>
      </c>
      <c r="D154" s="5" t="s">
        <v>1552</v>
      </c>
      <c r="E154" s="5" t="s">
        <v>1553</v>
      </c>
      <c r="F154" s="5">
        <v>780</v>
      </c>
      <c r="G154" s="33">
        <f t="shared" si="10"/>
        <v>1.8674307082261992E-4</v>
      </c>
      <c r="H154" s="5" t="str">
        <f t="shared" si="11"/>
        <v/>
      </c>
      <c r="I154" s="5" t="str">
        <f t="shared" si="12"/>
        <v/>
      </c>
      <c r="J154" s="5" t="str">
        <f t="shared" si="13"/>
        <v/>
      </c>
      <c r="K154" s="5" t="str">
        <f t="shared" si="14"/>
        <v/>
      </c>
      <c r="S154" s="32" t="s">
        <v>2285</v>
      </c>
      <c r="T154" s="32" t="s">
        <v>1316</v>
      </c>
      <c r="U154" s="32" t="s">
        <v>503</v>
      </c>
      <c r="W154" t="s">
        <v>1495</v>
      </c>
      <c r="X154" t="s">
        <v>1493</v>
      </c>
      <c r="Y154" t="s">
        <v>517</v>
      </c>
      <c r="AA154" s="15" t="s">
        <v>815</v>
      </c>
      <c r="AB154" s="15" t="s">
        <v>2480</v>
      </c>
      <c r="AC154" s="15" t="s">
        <v>491</v>
      </c>
      <c r="AE154" t="s">
        <v>2364</v>
      </c>
      <c r="AF154" t="s">
        <v>2502</v>
      </c>
      <c r="AG154" t="s">
        <v>2490</v>
      </c>
      <c r="AH154" t="s">
        <v>491</v>
      </c>
      <c r="AJ154" s="28" t="s">
        <v>2279</v>
      </c>
      <c r="AK154" s="28" t="s">
        <v>2270</v>
      </c>
      <c r="AL154" s="28" t="s">
        <v>481</v>
      </c>
      <c r="AM154" s="28"/>
      <c r="AN154" s="28" t="s">
        <v>9</v>
      </c>
      <c r="AO154" s="28" t="s">
        <v>2504</v>
      </c>
      <c r="AQ154" t="s">
        <v>1266</v>
      </c>
      <c r="AR154" t="s">
        <v>1264</v>
      </c>
      <c r="AS154" t="s">
        <v>2240</v>
      </c>
      <c r="AT154" t="s">
        <v>2241</v>
      </c>
      <c r="AU154">
        <v>2014</v>
      </c>
      <c r="AV154" t="s">
        <v>2242</v>
      </c>
      <c r="AW154">
        <v>4567.527</v>
      </c>
    </row>
    <row r="155" spans="1:49" x14ac:dyDescent="0.25">
      <c r="A155" s="5" t="s">
        <v>503</v>
      </c>
      <c r="B155" s="5" t="str">
        <f>INDEX(Regions!B:B,MATCH(A155,Regions!A:A,0))</f>
        <v>Other S&amp;C America</v>
      </c>
      <c r="C155" t="s">
        <v>1572</v>
      </c>
      <c r="D155" s="5" t="s">
        <v>1573</v>
      </c>
      <c r="E155" s="5" t="s">
        <v>1574</v>
      </c>
      <c r="F155" s="5">
        <v>796</v>
      </c>
      <c r="G155" s="33">
        <f t="shared" si="10"/>
        <v>4.8481960677546757E-6</v>
      </c>
      <c r="H155" s="5" t="str">
        <f t="shared" si="11"/>
        <v>NotAccounted</v>
      </c>
      <c r="I155" s="5" t="str">
        <f t="shared" si="12"/>
        <v/>
      </c>
      <c r="J155" s="5" t="e">
        <f t="shared" si="13"/>
        <v>#N/A</v>
      </c>
      <c r="K155" s="5" t="str">
        <f t="shared" si="14"/>
        <v/>
      </c>
      <c r="S155" s="32" t="e">
        <v>#N/A</v>
      </c>
      <c r="T155" s="32" t="s">
        <v>2281</v>
      </c>
      <c r="U155" s="32" t="e">
        <v>#N/A</v>
      </c>
      <c r="W155" t="s">
        <v>1647</v>
      </c>
      <c r="X155" t="s">
        <v>1645</v>
      </c>
      <c r="Y155" t="s">
        <v>517</v>
      </c>
      <c r="AA155" s="15" t="s">
        <v>2505</v>
      </c>
      <c r="AB155" s="15" t="s">
        <v>2480</v>
      </c>
      <c r="AC155" s="15" t="s">
        <v>491</v>
      </c>
      <c r="AE155" t="s">
        <v>955</v>
      </c>
      <c r="AF155" t="s">
        <v>2502</v>
      </c>
      <c r="AG155" t="s">
        <v>2490</v>
      </c>
      <c r="AH155" t="s">
        <v>491</v>
      </c>
      <c r="AJ155" s="28" t="s">
        <v>1227</v>
      </c>
      <c r="AK155" s="28" t="s">
        <v>1227</v>
      </c>
      <c r="AL155" s="28" t="s">
        <v>517</v>
      </c>
      <c r="AM155" s="28" t="s">
        <v>605</v>
      </c>
      <c r="AN155" s="28" t="s">
        <v>9</v>
      </c>
      <c r="AO155" s="28"/>
      <c r="AQ155" t="s">
        <v>1271</v>
      </c>
      <c r="AR155" t="s">
        <v>1269</v>
      </c>
      <c r="AS155" t="s">
        <v>2240</v>
      </c>
      <c r="AT155" t="s">
        <v>2241</v>
      </c>
      <c r="AU155">
        <v>2014</v>
      </c>
      <c r="AV155" t="s">
        <v>2242</v>
      </c>
      <c r="AW155">
        <v>6142.7309999999998</v>
      </c>
    </row>
    <row r="156" spans="1:49" x14ac:dyDescent="0.25">
      <c r="A156" s="5" t="s">
        <v>503</v>
      </c>
      <c r="B156" s="5" t="str">
        <f>INDEX(Regions!B:B,MATCH(A156,Regions!A:A,0))</f>
        <v>Other S&amp;C America</v>
      </c>
      <c r="C156" t="s">
        <v>1613</v>
      </c>
      <c r="D156" s="5" t="s">
        <v>1614</v>
      </c>
      <c r="E156" s="5" t="s">
        <v>1615</v>
      </c>
      <c r="F156" s="5">
        <v>858</v>
      </c>
      <c r="G156" s="33">
        <f t="shared" si="10"/>
        <v>4.6611384104304449E-4</v>
      </c>
      <c r="H156" s="5" t="str">
        <f t="shared" si="11"/>
        <v/>
      </c>
      <c r="I156" s="5" t="str">
        <f t="shared" si="12"/>
        <v/>
      </c>
      <c r="J156" s="5" t="str">
        <f t="shared" si="13"/>
        <v/>
      </c>
      <c r="K156" s="5" t="str">
        <f t="shared" si="14"/>
        <v/>
      </c>
      <c r="S156" s="32" t="s">
        <v>2285</v>
      </c>
      <c r="T156" s="32" t="s">
        <v>1332</v>
      </c>
      <c r="U156" s="32" t="s">
        <v>503</v>
      </c>
      <c r="W156" t="s">
        <v>1652</v>
      </c>
      <c r="X156" t="s">
        <v>1650</v>
      </c>
      <c r="Y156" t="s">
        <v>517</v>
      </c>
      <c r="AA156" s="15" t="s">
        <v>1563</v>
      </c>
      <c r="AB156" s="15" t="s">
        <v>1561</v>
      </c>
      <c r="AC156" s="15" t="s">
        <v>500</v>
      </c>
      <c r="AE156" t="s">
        <v>1701</v>
      </c>
      <c r="AF156" t="s">
        <v>2502</v>
      </c>
      <c r="AG156" t="s">
        <v>2490</v>
      </c>
      <c r="AH156" t="s">
        <v>491</v>
      </c>
      <c r="AJ156" s="28" t="s">
        <v>1180</v>
      </c>
      <c r="AK156" s="28" t="s">
        <v>1180</v>
      </c>
      <c r="AL156" s="28" t="s">
        <v>517</v>
      </c>
      <c r="AM156" s="28" t="s">
        <v>605</v>
      </c>
      <c r="AN156" s="28" t="s">
        <v>9</v>
      </c>
      <c r="AO156" s="28"/>
      <c r="AQ156" t="s">
        <v>1276</v>
      </c>
      <c r="AR156" t="s">
        <v>1274</v>
      </c>
      <c r="AS156" t="s">
        <v>2240</v>
      </c>
      <c r="AT156" t="s">
        <v>2241</v>
      </c>
      <c r="AU156">
        <v>2014</v>
      </c>
      <c r="AV156" t="s">
        <v>2242</v>
      </c>
      <c r="AW156">
        <v>19240.179</v>
      </c>
    </row>
    <row r="157" spans="1:49" x14ac:dyDescent="0.25">
      <c r="A157" s="5" t="s">
        <v>503</v>
      </c>
      <c r="B157" s="5" t="str">
        <f>INDEX(Regions!B:B,MATCH(A157,Regions!A:A,0))</f>
        <v>Other S&amp;C America</v>
      </c>
      <c r="C157" t="s">
        <v>1630</v>
      </c>
      <c r="D157" s="5" t="s">
        <v>1631</v>
      </c>
      <c r="E157" s="5" t="s">
        <v>1632</v>
      </c>
      <c r="F157" s="5">
        <v>862</v>
      </c>
      <c r="G157" s="33">
        <f t="shared" si="10"/>
        <v>4.1181316780593055E-3</v>
      </c>
      <c r="H157" s="5" t="str">
        <f t="shared" si="11"/>
        <v/>
      </c>
      <c r="I157" s="5" t="str">
        <f t="shared" si="12"/>
        <v/>
      </c>
      <c r="J157" s="5" t="str">
        <f t="shared" si="13"/>
        <v/>
      </c>
      <c r="K157" s="5" t="str">
        <f t="shared" si="14"/>
        <v/>
      </c>
      <c r="S157" s="32" t="s">
        <v>2288</v>
      </c>
      <c r="T157" s="32" t="s">
        <v>1337</v>
      </c>
      <c r="U157" s="32" t="s">
        <v>481</v>
      </c>
      <c r="W157" t="s">
        <v>1354</v>
      </c>
      <c r="X157" t="s">
        <v>2506</v>
      </c>
      <c r="Y157" t="s">
        <v>557</v>
      </c>
      <c r="AA157" s="15" t="s">
        <v>618</v>
      </c>
      <c r="AB157" s="15" t="s">
        <v>2507</v>
      </c>
      <c r="AC157" s="15" t="s">
        <v>511</v>
      </c>
      <c r="AE157" t="s">
        <v>1000</v>
      </c>
      <c r="AF157" t="s">
        <v>2502</v>
      </c>
      <c r="AG157" t="s">
        <v>2490</v>
      </c>
      <c r="AH157" t="s">
        <v>491</v>
      </c>
      <c r="AJ157" s="28" t="s">
        <v>1217</v>
      </c>
      <c r="AK157" s="28" t="s">
        <v>2239</v>
      </c>
      <c r="AL157" s="28" t="s">
        <v>503</v>
      </c>
      <c r="AM157" s="28"/>
      <c r="AN157" s="28" t="s">
        <v>9</v>
      </c>
      <c r="AO157" s="28"/>
      <c r="AQ157" t="s">
        <v>1282</v>
      </c>
      <c r="AR157" t="s">
        <v>1280</v>
      </c>
      <c r="AS157" t="s">
        <v>2240</v>
      </c>
      <c r="AT157" t="s">
        <v>2241</v>
      </c>
      <c r="AU157">
        <v>2014</v>
      </c>
      <c r="AV157" t="s">
        <v>2242</v>
      </c>
      <c r="AW157">
        <v>176404.93400000001</v>
      </c>
    </row>
    <row r="158" spans="1:49" x14ac:dyDescent="0.25">
      <c r="A158" s="5" t="s">
        <v>503</v>
      </c>
      <c r="B158" s="5" t="str">
        <f>INDEX(Regions!B:B,MATCH(A158,Regions!A:A,0))</f>
        <v>Other S&amp;C America</v>
      </c>
      <c r="C158" t="s">
        <v>1655</v>
      </c>
      <c r="D158" s="5" t="s">
        <v>1656</v>
      </c>
      <c r="E158" s="5" t="s">
        <v>1657</v>
      </c>
      <c r="F158" s="5">
        <v>254</v>
      </c>
      <c r="G158" s="33">
        <f t="shared" si="10"/>
        <v>3.4922939771270381E-5</v>
      </c>
      <c r="H158" s="5" t="str">
        <f t="shared" si="11"/>
        <v/>
      </c>
      <c r="I158" s="5" t="str">
        <f t="shared" si="12"/>
        <v/>
      </c>
      <c r="J158" s="5" t="e">
        <f t="shared" si="13"/>
        <v>#N/A</v>
      </c>
      <c r="K158" s="5" t="str">
        <f t="shared" si="14"/>
        <v/>
      </c>
      <c r="S158" s="32" t="e">
        <v>#N/A</v>
      </c>
      <c r="T158" s="32" t="s">
        <v>1305</v>
      </c>
      <c r="U158" s="32" t="e">
        <v>#N/A</v>
      </c>
      <c r="W158" t="s">
        <v>1563</v>
      </c>
      <c r="X158" t="s">
        <v>1561</v>
      </c>
      <c r="Y158" t="s">
        <v>500</v>
      </c>
      <c r="AA158" s="15" t="s">
        <v>1359</v>
      </c>
      <c r="AB158" s="15" t="s">
        <v>2507</v>
      </c>
      <c r="AC158" s="15" t="s">
        <v>511</v>
      </c>
      <c r="AE158" t="s">
        <v>1690</v>
      </c>
      <c r="AF158" t="s">
        <v>2502</v>
      </c>
      <c r="AG158" t="s">
        <v>2490</v>
      </c>
      <c r="AH158" t="s">
        <v>491</v>
      </c>
      <c r="AJ158" s="28" t="s">
        <v>2286</v>
      </c>
      <c r="AK158" s="28" t="s">
        <v>2239</v>
      </c>
      <c r="AL158" s="28" t="s">
        <v>503</v>
      </c>
      <c r="AM158" s="28"/>
      <c r="AN158" s="28" t="s">
        <v>9</v>
      </c>
      <c r="AO158" s="28" t="s">
        <v>2471</v>
      </c>
      <c r="AQ158" t="s">
        <v>1287</v>
      </c>
      <c r="AR158" t="s">
        <v>1285</v>
      </c>
      <c r="AS158" t="s">
        <v>2240</v>
      </c>
      <c r="AT158" t="s">
        <v>2241</v>
      </c>
      <c r="AU158">
        <v>2014</v>
      </c>
      <c r="AV158" t="s">
        <v>2242</v>
      </c>
      <c r="AW158">
        <v>1.609</v>
      </c>
    </row>
    <row r="159" spans="1:49" x14ac:dyDescent="0.25">
      <c r="A159" s="5" t="s">
        <v>503</v>
      </c>
      <c r="B159" s="5" t="str">
        <f>INDEX(Regions!B:B,MATCH(A159,Regions!A:A,0))</f>
        <v>Other S&amp;C America</v>
      </c>
      <c r="C159" t="s">
        <v>1682</v>
      </c>
      <c r="D159" s="5" t="s">
        <v>1683</v>
      </c>
      <c r="E159" s="5" t="s">
        <v>1684</v>
      </c>
      <c r="F159" s="5">
        <v>630</v>
      </c>
      <c r="G159" s="33">
        <f t="shared" si="10"/>
        <v>4.734111512826042E-4</v>
      </c>
      <c r="H159" s="5" t="str">
        <f t="shared" si="11"/>
        <v>USA</v>
      </c>
      <c r="I159" s="5" t="str">
        <f t="shared" si="12"/>
        <v/>
      </c>
      <c r="J159" s="5" t="e">
        <f t="shared" si="13"/>
        <v>#N/A</v>
      </c>
      <c r="K159" s="5" t="str">
        <f t="shared" si="14"/>
        <v/>
      </c>
      <c r="S159" s="32" t="e">
        <v>#N/A</v>
      </c>
      <c r="T159" s="32" t="s">
        <v>1322</v>
      </c>
      <c r="U159" s="32" t="e">
        <v>#N/A</v>
      </c>
      <c r="W159" t="s">
        <v>1590</v>
      </c>
      <c r="X159" t="s">
        <v>1588</v>
      </c>
      <c r="Y159" t="s">
        <v>511</v>
      </c>
      <c r="AA159" s="15" t="s">
        <v>1590</v>
      </c>
      <c r="AB159" s="15" t="s">
        <v>2507</v>
      </c>
      <c r="AC159" s="15" t="s">
        <v>511</v>
      </c>
      <c r="AE159" t="s">
        <v>1695</v>
      </c>
      <c r="AF159" t="s">
        <v>2502</v>
      </c>
      <c r="AG159" t="s">
        <v>2490</v>
      </c>
      <c r="AH159" t="s">
        <v>491</v>
      </c>
      <c r="AJ159" s="28" t="s">
        <v>1186</v>
      </c>
      <c r="AK159" s="28" t="s">
        <v>2276</v>
      </c>
      <c r="AL159" s="28" t="s">
        <v>517</v>
      </c>
      <c r="AM159" s="28"/>
      <c r="AN159" s="28" t="s">
        <v>9</v>
      </c>
      <c r="AO159" s="28"/>
      <c r="AQ159" t="s">
        <v>1525</v>
      </c>
      <c r="AR159" t="s">
        <v>2508</v>
      </c>
      <c r="AS159" t="s">
        <v>2240</v>
      </c>
      <c r="AT159" t="s">
        <v>2241</v>
      </c>
      <c r="AU159">
        <v>2014</v>
      </c>
      <c r="AV159" t="s">
        <v>2242</v>
      </c>
      <c r="AW159">
        <v>2077.7750000000001</v>
      </c>
    </row>
    <row r="160" spans="1:49" x14ac:dyDescent="0.25">
      <c r="A160" s="5" t="s">
        <v>503</v>
      </c>
      <c r="B160" s="5" t="str">
        <f>INDEX(Regions!B:B,MATCH(A160,Regions!A:A,0))</f>
        <v>Other S&amp;C America</v>
      </c>
      <c r="C160" t="s">
        <v>1704</v>
      </c>
      <c r="D160" s="5" t="s">
        <v>1705</v>
      </c>
      <c r="E160" s="5" t="s">
        <v>1706</v>
      </c>
      <c r="F160" s="5">
        <v>850</v>
      </c>
      <c r="G160" s="33">
        <f t="shared" si="10"/>
        <v>1.4408472997991604E-5</v>
      </c>
      <c r="H160" s="5" t="str">
        <f t="shared" si="11"/>
        <v>NotAccounted</v>
      </c>
      <c r="I160" s="5" t="str">
        <f t="shared" si="12"/>
        <v/>
      </c>
      <c r="J160" s="5" t="e">
        <f t="shared" si="13"/>
        <v>#N/A</v>
      </c>
      <c r="K160" s="5" t="str">
        <f t="shared" si="14"/>
        <v/>
      </c>
      <c r="S160" s="32" t="s">
        <v>2509</v>
      </c>
      <c r="T160" s="32" t="s">
        <v>788</v>
      </c>
      <c r="U160" s="32" t="s">
        <v>491</v>
      </c>
      <c r="W160" t="s">
        <v>1684</v>
      </c>
      <c r="X160" t="s">
        <v>2510</v>
      </c>
      <c r="Y160" t="s">
        <v>486</v>
      </c>
      <c r="AA160" s="15" t="s">
        <v>1072</v>
      </c>
      <c r="AB160" s="15" t="s">
        <v>2511</v>
      </c>
      <c r="AC160" s="15" t="s">
        <v>511</v>
      </c>
      <c r="AE160" t="s">
        <v>1525</v>
      </c>
      <c r="AF160" t="s">
        <v>2502</v>
      </c>
      <c r="AG160" t="s">
        <v>2490</v>
      </c>
      <c r="AH160" t="s">
        <v>491</v>
      </c>
      <c r="AJ160" s="28" t="s">
        <v>1151</v>
      </c>
      <c r="AK160" s="28" t="s">
        <v>1151</v>
      </c>
      <c r="AL160" s="28" t="s">
        <v>517</v>
      </c>
      <c r="AM160" s="28" t="s">
        <v>605</v>
      </c>
      <c r="AN160" s="28" t="s">
        <v>9</v>
      </c>
      <c r="AO160" s="28"/>
      <c r="AQ160" t="s">
        <v>2279</v>
      </c>
      <c r="AR160" t="s">
        <v>2504</v>
      </c>
      <c r="AS160" t="s">
        <v>2240</v>
      </c>
      <c r="AT160" t="s">
        <v>2241</v>
      </c>
      <c r="AU160">
        <v>2014</v>
      </c>
      <c r="AV160" t="s">
        <v>2242</v>
      </c>
      <c r="AW160">
        <v>55.305</v>
      </c>
    </row>
    <row r="161" spans="1:49" x14ac:dyDescent="0.25">
      <c r="A161" s="5" t="s">
        <v>557</v>
      </c>
      <c r="B161" s="5" t="str">
        <f>INDEX(Regions!B:B,MATCH(A161,Regions!A:A,0))</f>
        <v>South-East Asia</v>
      </c>
      <c r="C161" t="s">
        <v>682</v>
      </c>
      <c r="D161" s="5" t="s">
        <v>683</v>
      </c>
      <c r="E161" s="5" t="s">
        <v>684</v>
      </c>
      <c r="F161" s="5">
        <v>96</v>
      </c>
      <c r="G161" s="33">
        <f t="shared" si="10"/>
        <v>5.6168974369865298E-5</v>
      </c>
      <c r="H161" s="5" t="str">
        <f t="shared" si="11"/>
        <v/>
      </c>
      <c r="I161" s="5" t="str">
        <f t="shared" si="12"/>
        <v/>
      </c>
      <c r="J161" s="5" t="str">
        <f t="shared" si="13"/>
        <v>OAS</v>
      </c>
      <c r="K161" s="5" t="str">
        <f t="shared" si="14"/>
        <v/>
      </c>
      <c r="S161" s="32" t="e">
        <v>#N/A</v>
      </c>
      <c r="T161" s="32" t="s">
        <v>1684</v>
      </c>
      <c r="U161" s="32" t="e">
        <v>#N/A</v>
      </c>
      <c r="W161" t="s">
        <v>486</v>
      </c>
      <c r="X161" t="s">
        <v>486</v>
      </c>
      <c r="Y161" t="s">
        <v>486</v>
      </c>
      <c r="AA161" s="15" t="s">
        <v>1093</v>
      </c>
      <c r="AB161" s="15" t="s">
        <v>2511</v>
      </c>
      <c r="AC161" s="15" t="s">
        <v>511</v>
      </c>
      <c r="AE161" t="s">
        <v>1202</v>
      </c>
      <c r="AF161" t="s">
        <v>2502</v>
      </c>
      <c r="AG161" t="s">
        <v>2490</v>
      </c>
      <c r="AH161" t="s">
        <v>491</v>
      </c>
      <c r="AJ161" s="28" t="s">
        <v>1156</v>
      </c>
      <c r="AK161" s="28" t="s">
        <v>1156</v>
      </c>
      <c r="AL161" s="28" t="s">
        <v>557</v>
      </c>
      <c r="AM161" s="28" t="s">
        <v>613</v>
      </c>
      <c r="AN161" s="28" t="s">
        <v>9</v>
      </c>
      <c r="AO161" s="28"/>
      <c r="AQ161" t="s">
        <v>847</v>
      </c>
      <c r="AR161" t="s">
        <v>848</v>
      </c>
      <c r="AS161" t="s">
        <v>2240</v>
      </c>
      <c r="AT161" t="s">
        <v>2241</v>
      </c>
      <c r="AU161">
        <v>2014</v>
      </c>
      <c r="AV161" t="s">
        <v>2242</v>
      </c>
      <c r="AW161">
        <v>5142.2650000000003</v>
      </c>
    </row>
    <row r="162" spans="1:49" x14ac:dyDescent="0.25">
      <c r="A162" s="5" t="s">
        <v>557</v>
      </c>
      <c r="B162" s="5" t="str">
        <f>INDEX(Regions!B:B,MATCH(A162,Regions!A:A,0))</f>
        <v>South-East Asia</v>
      </c>
      <c r="C162" t="s">
        <v>710</v>
      </c>
      <c r="D162" s="5" t="s">
        <v>711</v>
      </c>
      <c r="E162" s="5" t="s">
        <v>712</v>
      </c>
      <c r="F162" s="5">
        <v>116</v>
      </c>
      <c r="G162" s="33">
        <f t="shared" si="10"/>
        <v>2.0937483497273602E-3</v>
      </c>
      <c r="H162" s="5" t="str">
        <f t="shared" si="11"/>
        <v/>
      </c>
      <c r="I162" s="5" t="str">
        <f t="shared" si="12"/>
        <v/>
      </c>
      <c r="J162" s="5" t="str">
        <f t="shared" si="13"/>
        <v>OAS</v>
      </c>
      <c r="K162" s="5" t="str">
        <f t="shared" si="14"/>
        <v/>
      </c>
      <c r="S162" s="32" t="s">
        <v>2288</v>
      </c>
      <c r="T162" s="32" t="s">
        <v>837</v>
      </c>
      <c r="U162" s="32" t="s">
        <v>481</v>
      </c>
      <c r="W162" t="s">
        <v>635</v>
      </c>
      <c r="X162" t="s">
        <v>633</v>
      </c>
      <c r="Y162" t="s">
        <v>517</v>
      </c>
      <c r="AA162" s="15" t="s">
        <v>1514</v>
      </c>
      <c r="AB162" s="15" t="s">
        <v>2511</v>
      </c>
      <c r="AC162" s="15" t="s">
        <v>511</v>
      </c>
      <c r="AE162" t="s">
        <v>1212</v>
      </c>
      <c r="AF162" t="s">
        <v>2502</v>
      </c>
      <c r="AG162" t="s">
        <v>2490</v>
      </c>
      <c r="AH162" t="s">
        <v>491</v>
      </c>
      <c r="AJ162" s="28" t="s">
        <v>2414</v>
      </c>
      <c r="AK162" s="28" t="s">
        <v>2276</v>
      </c>
      <c r="AL162" s="28" t="s">
        <v>517</v>
      </c>
      <c r="AM162" s="28"/>
      <c r="AN162" s="28" t="s">
        <v>9</v>
      </c>
      <c r="AO162" s="28" t="s">
        <v>1234</v>
      </c>
      <c r="AQ162" t="s">
        <v>1295</v>
      </c>
      <c r="AR162" t="s">
        <v>1293</v>
      </c>
      <c r="AS162" t="s">
        <v>2240</v>
      </c>
      <c r="AT162" t="s">
        <v>2241</v>
      </c>
      <c r="AU162">
        <v>2014</v>
      </c>
      <c r="AV162" t="s">
        <v>2242</v>
      </c>
      <c r="AW162">
        <v>4027.26</v>
      </c>
    </row>
    <row r="163" spans="1:49" x14ac:dyDescent="0.25">
      <c r="A163" s="5" t="s">
        <v>557</v>
      </c>
      <c r="B163" s="5" t="str">
        <f>INDEX(Regions!B:B,MATCH(A163,Regions!A:A,0))</f>
        <v>South-East Asia</v>
      </c>
      <c r="C163" t="s">
        <v>835</v>
      </c>
      <c r="D163" s="5" t="s">
        <v>836</v>
      </c>
      <c r="E163" s="5" t="s">
        <v>837</v>
      </c>
      <c r="F163" s="5">
        <v>408</v>
      </c>
      <c r="G163" s="33">
        <f t="shared" si="10"/>
        <v>3.4347897578281108E-3</v>
      </c>
      <c r="H163" s="5" t="str">
        <f t="shared" si="11"/>
        <v/>
      </c>
      <c r="I163" s="5" t="str">
        <f t="shared" si="12"/>
        <v/>
      </c>
      <c r="J163" s="5" t="str">
        <f t="shared" si="13"/>
        <v>OAS</v>
      </c>
      <c r="K163" s="5" t="str">
        <f t="shared" si="14"/>
        <v>CHN</v>
      </c>
      <c r="S163" s="32" t="s">
        <v>2512</v>
      </c>
      <c r="T163" s="32" t="s">
        <v>795</v>
      </c>
      <c r="U163" s="32" t="s">
        <v>491</v>
      </c>
      <c r="W163" t="s">
        <v>696</v>
      </c>
      <c r="X163" t="s">
        <v>2513</v>
      </c>
      <c r="Y163" t="s">
        <v>517</v>
      </c>
      <c r="AA163" s="15" t="s">
        <v>1569</v>
      </c>
      <c r="AB163" s="15" t="s">
        <v>2511</v>
      </c>
      <c r="AC163" s="15" t="s">
        <v>511</v>
      </c>
      <c r="AE163" t="s">
        <v>1404</v>
      </c>
      <c r="AF163" t="s">
        <v>2502</v>
      </c>
      <c r="AG163" t="s">
        <v>2490</v>
      </c>
      <c r="AH163" t="s">
        <v>491</v>
      </c>
      <c r="AJ163" s="28" t="s">
        <v>586</v>
      </c>
      <c r="AK163" s="28" t="s">
        <v>586</v>
      </c>
      <c r="AL163" s="28" t="s">
        <v>517</v>
      </c>
      <c r="AM163" s="28" t="s">
        <v>605</v>
      </c>
      <c r="AN163" s="28" t="s">
        <v>9</v>
      </c>
      <c r="AO163" s="28"/>
      <c r="AQ163" t="s">
        <v>1300</v>
      </c>
      <c r="AR163" t="s">
        <v>1298</v>
      </c>
      <c r="AS163" t="s">
        <v>2240</v>
      </c>
      <c r="AT163" t="s">
        <v>2241</v>
      </c>
      <c r="AU163">
        <v>2014</v>
      </c>
      <c r="AV163" t="s">
        <v>2242</v>
      </c>
      <c r="AW163">
        <v>195305.01300000001</v>
      </c>
    </row>
    <row r="164" spans="1:49" x14ac:dyDescent="0.25">
      <c r="A164" s="5" t="s">
        <v>557</v>
      </c>
      <c r="B164" s="5" t="str">
        <f>INDEX(Regions!B:B,MATCH(A164,Regions!A:A,0))</f>
        <v>South-East Asia</v>
      </c>
      <c r="C164" t="s">
        <v>1027</v>
      </c>
      <c r="D164" s="5" t="s">
        <v>1028</v>
      </c>
      <c r="E164" s="5" t="s">
        <v>1029</v>
      </c>
      <c r="F164" s="5">
        <v>360</v>
      </c>
      <c r="G164" s="33">
        <f t="shared" si="10"/>
        <v>3.4971611717521452E-2</v>
      </c>
      <c r="H164" s="5" t="str">
        <f t="shared" si="11"/>
        <v/>
      </c>
      <c r="I164" s="5" t="str">
        <f t="shared" si="12"/>
        <v/>
      </c>
      <c r="J164" s="5" t="str">
        <f t="shared" si="13"/>
        <v/>
      </c>
      <c r="K164" s="5" t="str">
        <f t="shared" si="14"/>
        <v/>
      </c>
      <c r="S164" s="32" t="s">
        <v>2514</v>
      </c>
      <c r="T164" s="32" t="s">
        <v>1327</v>
      </c>
      <c r="U164" s="32" t="s">
        <v>503</v>
      </c>
      <c r="W164" t="s">
        <v>732</v>
      </c>
      <c r="X164" t="s">
        <v>2515</v>
      </c>
      <c r="Y164" t="s">
        <v>517</v>
      </c>
      <c r="AA164" s="15" t="s">
        <v>1621</v>
      </c>
      <c r="AB164" s="15" t="s">
        <v>2511</v>
      </c>
      <c r="AC164" s="15" t="s">
        <v>511</v>
      </c>
      <c r="AE164" t="s">
        <v>1425</v>
      </c>
      <c r="AF164" t="s">
        <v>2502</v>
      </c>
      <c r="AG164" t="s">
        <v>2490</v>
      </c>
      <c r="AH164" t="s">
        <v>491</v>
      </c>
      <c r="AJ164" s="28" t="s">
        <v>1261</v>
      </c>
      <c r="AK164" s="28" t="s">
        <v>2270</v>
      </c>
      <c r="AL164" s="28" t="s">
        <v>481</v>
      </c>
      <c r="AM164" s="28"/>
      <c r="AN164" s="28" t="s">
        <v>9</v>
      </c>
      <c r="AO164" s="28"/>
      <c r="AQ164" t="s">
        <v>1305</v>
      </c>
      <c r="AR164" t="s">
        <v>1303</v>
      </c>
      <c r="AS164" t="s">
        <v>2240</v>
      </c>
      <c r="AT164" t="s">
        <v>2241</v>
      </c>
      <c r="AU164">
        <v>2014</v>
      </c>
      <c r="AV164" t="s">
        <v>2242</v>
      </c>
      <c r="AW164">
        <v>17.626000000000001</v>
      </c>
    </row>
    <row r="165" spans="1:49" x14ac:dyDescent="0.25">
      <c r="A165" s="5" t="s">
        <v>557</v>
      </c>
      <c r="B165" s="5" t="str">
        <f>INDEX(Regions!B:B,MATCH(A165,Regions!A:A,0))</f>
        <v>South-East Asia</v>
      </c>
      <c r="C165" t="s">
        <v>1059</v>
      </c>
      <c r="D165" s="5" t="s">
        <v>1060</v>
      </c>
      <c r="E165" s="5" t="s">
        <v>1061</v>
      </c>
      <c r="F165" s="5">
        <v>392</v>
      </c>
      <c r="G165" s="33">
        <f t="shared" si="10"/>
        <v>1.7568681376608573E-2</v>
      </c>
      <c r="H165" s="5" t="str">
        <f t="shared" si="11"/>
        <v/>
      </c>
      <c r="I165" s="5" t="str">
        <f t="shared" si="12"/>
        <v/>
      </c>
      <c r="J165" s="5" t="str">
        <f t="shared" si="13"/>
        <v/>
      </c>
      <c r="K165" s="5" t="str">
        <f t="shared" si="14"/>
        <v/>
      </c>
      <c r="S165" s="32" t="e">
        <v>#N/A</v>
      </c>
      <c r="T165" s="32" t="s">
        <v>1311</v>
      </c>
      <c r="U165" s="32" t="e">
        <v>#N/A</v>
      </c>
      <c r="W165" t="s">
        <v>753</v>
      </c>
      <c r="X165" t="s">
        <v>751</v>
      </c>
      <c r="Y165" t="s">
        <v>517</v>
      </c>
      <c r="AA165" s="15" t="s">
        <v>547</v>
      </c>
      <c r="AB165" s="15" t="s">
        <v>2516</v>
      </c>
      <c r="AC165" s="15" t="s">
        <v>511</v>
      </c>
      <c r="AE165" t="s">
        <v>1072</v>
      </c>
      <c r="AF165" t="s">
        <v>2517</v>
      </c>
      <c r="AG165" t="s">
        <v>2518</v>
      </c>
      <c r="AH165" t="s">
        <v>511</v>
      </c>
      <c r="AJ165" s="28" t="s">
        <v>1276</v>
      </c>
      <c r="AK165" s="28" t="s">
        <v>1276</v>
      </c>
      <c r="AL165" s="28" t="s">
        <v>517</v>
      </c>
      <c r="AM165" s="28" t="s">
        <v>605</v>
      </c>
      <c r="AN165" s="28" t="s">
        <v>9</v>
      </c>
      <c r="AO165" s="28"/>
      <c r="AQ165" t="s">
        <v>1311</v>
      </c>
      <c r="AR165" t="s">
        <v>2519</v>
      </c>
      <c r="AS165" t="s">
        <v>2240</v>
      </c>
      <c r="AT165" t="s">
        <v>2241</v>
      </c>
      <c r="AU165">
        <v>2014</v>
      </c>
      <c r="AV165" t="s">
        <v>2242</v>
      </c>
      <c r="AW165">
        <v>4428.6390000000001</v>
      </c>
    </row>
    <row r="166" spans="1:49" x14ac:dyDescent="0.25">
      <c r="A166" s="5" t="s">
        <v>557</v>
      </c>
      <c r="B166" s="5" t="str">
        <f>INDEX(Regions!B:B,MATCH(A166,Regions!A:A,0))</f>
        <v>South-East Asia</v>
      </c>
      <c r="C166" t="s">
        <v>1096</v>
      </c>
      <c r="D166" s="5" t="s">
        <v>1097</v>
      </c>
      <c r="E166" s="5" t="s">
        <v>1098</v>
      </c>
      <c r="F166" s="5">
        <v>418</v>
      </c>
      <c r="G166" s="33">
        <f t="shared" si="10"/>
        <v>9.1014275014986341E-4</v>
      </c>
      <c r="H166" s="5" t="str">
        <f t="shared" si="11"/>
        <v/>
      </c>
      <c r="I166" s="5" t="str">
        <f t="shared" si="12"/>
        <v/>
      </c>
      <c r="J166" s="5" t="str">
        <f t="shared" si="13"/>
        <v>OAS</v>
      </c>
      <c r="K166" s="5" t="str">
        <f t="shared" si="14"/>
        <v/>
      </c>
      <c r="S166" s="32" t="s">
        <v>2288</v>
      </c>
      <c r="T166" s="32" t="s">
        <v>924</v>
      </c>
      <c r="U166" s="32" t="s">
        <v>481</v>
      </c>
      <c r="W166" t="s">
        <v>807</v>
      </c>
      <c r="X166" t="s">
        <v>2520</v>
      </c>
      <c r="Y166" t="s">
        <v>517</v>
      </c>
      <c r="AA166" s="15" t="s">
        <v>578</v>
      </c>
      <c r="AB166" s="15" t="s">
        <v>2516</v>
      </c>
      <c r="AC166" s="15" t="s">
        <v>511</v>
      </c>
      <c r="AE166" t="s">
        <v>1093</v>
      </c>
      <c r="AF166" t="s">
        <v>2521</v>
      </c>
      <c r="AG166" t="s">
        <v>2518</v>
      </c>
      <c r="AH166" t="s">
        <v>511</v>
      </c>
      <c r="AJ166" s="28" t="s">
        <v>2254</v>
      </c>
      <c r="AK166" s="28" t="s">
        <v>2270</v>
      </c>
      <c r="AL166" s="28" t="s">
        <v>481</v>
      </c>
      <c r="AM166" s="28"/>
      <c r="AN166" s="28" t="s">
        <v>9</v>
      </c>
      <c r="AO166" s="28" t="s">
        <v>2522</v>
      </c>
      <c r="AQ166" t="s">
        <v>1316</v>
      </c>
      <c r="AR166" t="s">
        <v>1314</v>
      </c>
      <c r="AS166" t="s">
        <v>2240</v>
      </c>
      <c r="AT166" t="s">
        <v>2241</v>
      </c>
      <c r="AU166">
        <v>2014</v>
      </c>
      <c r="AV166" t="s">
        <v>2242</v>
      </c>
      <c r="AW166">
        <v>3901.3139999999999</v>
      </c>
    </row>
    <row r="167" spans="1:49" x14ac:dyDescent="0.25">
      <c r="A167" s="5" t="s">
        <v>557</v>
      </c>
      <c r="B167" s="5" t="str">
        <f>INDEX(Regions!B:B,MATCH(A167,Regions!A:A,0))</f>
        <v>South-East Asia</v>
      </c>
      <c r="C167" t="s">
        <v>1154</v>
      </c>
      <c r="D167" s="5" t="s">
        <v>1155</v>
      </c>
      <c r="E167" s="5" t="s">
        <v>1156</v>
      </c>
      <c r="F167" s="5">
        <v>458</v>
      </c>
      <c r="G167" s="33">
        <f t="shared" si="10"/>
        <v>4.0939564935901498E-3</v>
      </c>
      <c r="H167" s="5" t="str">
        <f t="shared" si="11"/>
        <v/>
      </c>
      <c r="I167" s="5" t="str">
        <f t="shared" si="12"/>
        <v/>
      </c>
      <c r="J167" s="5" t="str">
        <f t="shared" si="13"/>
        <v/>
      </c>
      <c r="K167" s="5" t="str">
        <f t="shared" si="14"/>
        <v/>
      </c>
      <c r="S167" s="32" t="e">
        <v>#N/A</v>
      </c>
      <c r="T167" s="32" t="s">
        <v>1349</v>
      </c>
      <c r="U167" s="32" t="e">
        <v>#N/A</v>
      </c>
      <c r="W167" t="s">
        <v>857</v>
      </c>
      <c r="X167" t="s">
        <v>855</v>
      </c>
      <c r="Y167" t="s">
        <v>517</v>
      </c>
      <c r="AA167" s="15" t="s">
        <v>940</v>
      </c>
      <c r="AB167" s="15" t="s">
        <v>2516</v>
      </c>
      <c r="AC167" s="15" t="s">
        <v>511</v>
      </c>
      <c r="AE167" t="s">
        <v>1514</v>
      </c>
      <c r="AF167" t="s">
        <v>2523</v>
      </c>
      <c r="AG167" t="s">
        <v>2518</v>
      </c>
      <c r="AH167" t="s">
        <v>511</v>
      </c>
      <c r="AJ167" s="28" t="s">
        <v>1282</v>
      </c>
      <c r="AK167" s="28" t="s">
        <v>1282</v>
      </c>
      <c r="AL167" s="28" t="s">
        <v>517</v>
      </c>
      <c r="AM167" s="28" t="s">
        <v>605</v>
      </c>
      <c r="AN167" s="28" t="s">
        <v>9</v>
      </c>
      <c r="AO167" s="28"/>
      <c r="AQ167" t="s">
        <v>1322</v>
      </c>
      <c r="AR167" t="s">
        <v>1320</v>
      </c>
      <c r="AS167" t="s">
        <v>2240</v>
      </c>
      <c r="AT167" t="s">
        <v>2241</v>
      </c>
      <c r="AU167">
        <v>2014</v>
      </c>
      <c r="AV167" t="s">
        <v>2242</v>
      </c>
      <c r="AW167">
        <v>7946.73</v>
      </c>
    </row>
    <row r="168" spans="1:49" x14ac:dyDescent="0.25">
      <c r="A168" s="5" t="s">
        <v>557</v>
      </c>
      <c r="B168" s="5" t="str">
        <f>INDEX(Regions!B:B,MATCH(A168,Regions!A:A,0))</f>
        <v>South-East Asia</v>
      </c>
      <c r="C168" t="s">
        <v>1230</v>
      </c>
      <c r="D168" s="5" t="s">
        <v>1231</v>
      </c>
      <c r="E168" s="5" t="s">
        <v>1232</v>
      </c>
      <c r="F168" s="5">
        <v>104</v>
      </c>
      <c r="G168" s="33">
        <f t="shared" si="10"/>
        <v>7.1663797488132064E-3</v>
      </c>
      <c r="H168" s="5" t="str">
        <f t="shared" si="11"/>
        <v/>
      </c>
      <c r="I168" s="5" t="str">
        <f t="shared" si="12"/>
        <v/>
      </c>
      <c r="J168" s="5" t="str">
        <f t="shared" si="13"/>
        <v>OAS</v>
      </c>
      <c r="K168" s="5" t="str">
        <f t="shared" si="14"/>
        <v/>
      </c>
      <c r="S168" s="32" t="e">
        <v>#N/A</v>
      </c>
      <c r="T168" s="32" t="s">
        <v>853</v>
      </c>
      <c r="U168" s="32" t="e">
        <v>#N/A</v>
      </c>
      <c r="W168" t="s">
        <v>895</v>
      </c>
      <c r="X168" t="s">
        <v>893</v>
      </c>
      <c r="Y168" t="s">
        <v>517</v>
      </c>
      <c r="AA168" s="15" t="s">
        <v>1372</v>
      </c>
      <c r="AB168" s="15" t="s">
        <v>2516</v>
      </c>
      <c r="AC168" s="15" t="s">
        <v>511</v>
      </c>
      <c r="AE168" t="s">
        <v>1569</v>
      </c>
      <c r="AF168" t="s">
        <v>2524</v>
      </c>
      <c r="AG168" t="s">
        <v>2518</v>
      </c>
      <c r="AH168" t="s">
        <v>511</v>
      </c>
      <c r="AJ168" s="28" t="s">
        <v>1271</v>
      </c>
      <c r="AK168" s="28" t="s">
        <v>1271</v>
      </c>
      <c r="AL168" s="28" t="s">
        <v>503</v>
      </c>
      <c r="AM168" s="28" t="s">
        <v>595</v>
      </c>
      <c r="AN168" s="28" t="s">
        <v>9</v>
      </c>
      <c r="AO168" s="28"/>
      <c r="AQ168" t="s">
        <v>1327</v>
      </c>
      <c r="AR168" t="s">
        <v>1325</v>
      </c>
      <c r="AS168" t="s">
        <v>2240</v>
      </c>
      <c r="AT168" t="s">
        <v>2241</v>
      </c>
      <c r="AU168">
        <v>2014</v>
      </c>
      <c r="AV168" t="s">
        <v>2242</v>
      </c>
      <c r="AW168">
        <v>6599.5259999999998</v>
      </c>
    </row>
    <row r="169" spans="1:49" x14ac:dyDescent="0.25">
      <c r="A169" s="5" t="s">
        <v>557</v>
      </c>
      <c r="B169" s="5" t="str">
        <f>INDEX(Regions!B:B,MATCH(A169,Regions!A:A,0))</f>
        <v>South-East Asia</v>
      </c>
      <c r="C169" t="s">
        <v>1335</v>
      </c>
      <c r="D169" s="5" t="s">
        <v>1336</v>
      </c>
      <c r="E169" s="5" t="s">
        <v>1337</v>
      </c>
      <c r="F169" s="5">
        <v>608</v>
      </c>
      <c r="G169" s="33">
        <f t="shared" si="10"/>
        <v>1.3777811637367961E-2</v>
      </c>
      <c r="H169" s="5" t="str">
        <f t="shared" si="11"/>
        <v/>
      </c>
      <c r="I169" s="5" t="str">
        <f t="shared" si="12"/>
        <v/>
      </c>
      <c r="J169" s="5" t="str">
        <f t="shared" si="13"/>
        <v>OAS</v>
      </c>
      <c r="K169" s="5" t="str">
        <f t="shared" si="14"/>
        <v/>
      </c>
      <c r="S169" s="32" t="s">
        <v>2525</v>
      </c>
      <c r="T169" s="32" t="s">
        <v>803</v>
      </c>
      <c r="U169" s="32" t="s">
        <v>491</v>
      </c>
      <c r="W169" t="s">
        <v>935</v>
      </c>
      <c r="X169" t="s">
        <v>933</v>
      </c>
      <c r="Y169" t="s">
        <v>517</v>
      </c>
      <c r="AA169" s="15" t="s">
        <v>592</v>
      </c>
      <c r="AB169" s="15" t="s">
        <v>2526</v>
      </c>
      <c r="AC169" s="15" t="s">
        <v>500</v>
      </c>
      <c r="AE169" t="s">
        <v>1621</v>
      </c>
      <c r="AF169" t="s">
        <v>2524</v>
      </c>
      <c r="AG169" t="s">
        <v>2518</v>
      </c>
      <c r="AH169" t="s">
        <v>511</v>
      </c>
      <c r="AJ169" s="28" t="s">
        <v>1287</v>
      </c>
      <c r="AK169" s="28" t="s">
        <v>2270</v>
      </c>
      <c r="AL169" s="28" t="s">
        <v>481</v>
      </c>
      <c r="AM169" s="28"/>
      <c r="AN169" s="28" t="s">
        <v>9</v>
      </c>
      <c r="AO169" s="28"/>
      <c r="AQ169" t="s">
        <v>1332</v>
      </c>
      <c r="AR169" t="s">
        <v>1330</v>
      </c>
      <c r="AS169" t="s">
        <v>2240</v>
      </c>
      <c r="AT169" t="s">
        <v>2241</v>
      </c>
      <c r="AU169">
        <v>2014</v>
      </c>
      <c r="AV169" t="s">
        <v>2242</v>
      </c>
      <c r="AW169">
        <v>30090.359</v>
      </c>
    </row>
    <row r="170" spans="1:49" x14ac:dyDescent="0.25">
      <c r="A170" s="5" t="s">
        <v>557</v>
      </c>
      <c r="B170" s="5" t="str">
        <f>INDEX(Regions!B:B,MATCH(A170,Regions!A:A,0))</f>
        <v>South-East Asia</v>
      </c>
      <c r="C170" t="s">
        <v>1352</v>
      </c>
      <c r="D170" s="5" t="s">
        <v>1353</v>
      </c>
      <c r="E170" s="5" t="s">
        <v>1354</v>
      </c>
      <c r="F170" s="5">
        <v>410</v>
      </c>
      <c r="G170" s="33">
        <f t="shared" si="10"/>
        <v>6.9370651054509415E-3</v>
      </c>
      <c r="H170" s="5" t="str">
        <f t="shared" si="11"/>
        <v/>
      </c>
      <c r="I170" s="5" t="str">
        <f t="shared" si="12"/>
        <v/>
      </c>
      <c r="J170" s="5" t="str">
        <f t="shared" si="13"/>
        <v/>
      </c>
      <c r="K170" s="5" t="str">
        <f t="shared" si="14"/>
        <v>CHN</v>
      </c>
      <c r="S170" s="32" t="s">
        <v>1372</v>
      </c>
      <c r="T170" s="32" t="s">
        <v>1372</v>
      </c>
      <c r="U170" s="32" t="s">
        <v>511</v>
      </c>
      <c r="W170" t="s">
        <v>949</v>
      </c>
      <c r="X170" t="s">
        <v>947</v>
      </c>
      <c r="Y170" t="s">
        <v>517</v>
      </c>
      <c r="AA170" s="15" t="s">
        <v>1034</v>
      </c>
      <c r="AB170" s="15" t="s">
        <v>2526</v>
      </c>
      <c r="AC170" s="15" t="s">
        <v>500</v>
      </c>
      <c r="AE170" t="s">
        <v>547</v>
      </c>
      <c r="AF170" t="s">
        <v>2527</v>
      </c>
      <c r="AG170" t="s">
        <v>2498</v>
      </c>
      <c r="AH170" t="s">
        <v>511</v>
      </c>
      <c r="AJ170" s="28" t="s">
        <v>169</v>
      </c>
      <c r="AK170" s="28" t="s">
        <v>169</v>
      </c>
      <c r="AL170" s="28" t="s">
        <v>491</v>
      </c>
      <c r="AM170" s="28"/>
      <c r="AN170" s="28" t="s">
        <v>9</v>
      </c>
      <c r="AO170" s="28"/>
      <c r="AQ170" t="s">
        <v>1337</v>
      </c>
      <c r="AR170" t="s">
        <v>1335</v>
      </c>
      <c r="AS170" t="s">
        <v>2240</v>
      </c>
      <c r="AT170" t="s">
        <v>2241</v>
      </c>
      <c r="AU170">
        <v>2014</v>
      </c>
      <c r="AV170" t="s">
        <v>2242</v>
      </c>
      <c r="AW170">
        <v>100513.14200000001</v>
      </c>
    </row>
    <row r="171" spans="1:49" x14ac:dyDescent="0.25">
      <c r="A171" s="5" t="s">
        <v>557</v>
      </c>
      <c r="B171" s="5" t="str">
        <f>INDEX(Regions!B:B,MATCH(A171,Regions!A:A,0))</f>
        <v>South-East Asia</v>
      </c>
      <c r="C171" t="s">
        <v>1439</v>
      </c>
      <c r="D171" s="5" t="s">
        <v>1440</v>
      </c>
      <c r="E171" s="5" t="s">
        <v>1441</v>
      </c>
      <c r="F171" s="5">
        <v>702</v>
      </c>
      <c r="G171" s="33">
        <f t="shared" si="10"/>
        <v>7.5742368302985665E-4</v>
      </c>
      <c r="H171" s="5" t="str">
        <f t="shared" si="11"/>
        <v/>
      </c>
      <c r="I171" s="5" t="str">
        <f t="shared" si="12"/>
        <v/>
      </c>
      <c r="J171" s="5" t="e">
        <f t="shared" si="13"/>
        <v>#N/A</v>
      </c>
      <c r="K171" s="5" t="str">
        <f t="shared" si="14"/>
        <v/>
      </c>
      <c r="S171" s="32" t="s">
        <v>2246</v>
      </c>
      <c r="T171" s="32" t="s">
        <v>1377</v>
      </c>
      <c r="U171" s="32" t="s">
        <v>517</v>
      </c>
      <c r="W171" t="s">
        <v>979</v>
      </c>
      <c r="X171" t="s">
        <v>977</v>
      </c>
      <c r="Y171" t="s">
        <v>517</v>
      </c>
      <c r="AA171" s="15" t="s">
        <v>1039</v>
      </c>
      <c r="AB171" s="15" t="s">
        <v>2526</v>
      </c>
      <c r="AC171" s="15" t="s">
        <v>500</v>
      </c>
      <c r="AE171" t="s">
        <v>578</v>
      </c>
      <c r="AF171" t="s">
        <v>2528</v>
      </c>
      <c r="AG171" t="s">
        <v>2498</v>
      </c>
      <c r="AH171" t="s">
        <v>511</v>
      </c>
      <c r="AJ171" s="28" t="s">
        <v>847</v>
      </c>
      <c r="AK171" s="28" t="s">
        <v>847</v>
      </c>
      <c r="AL171" s="28" t="s">
        <v>491</v>
      </c>
      <c r="AM171" s="28"/>
      <c r="AN171" s="28" t="s">
        <v>9</v>
      </c>
      <c r="AO171" s="28"/>
      <c r="AQ171" t="s">
        <v>788</v>
      </c>
      <c r="AR171" t="s">
        <v>789</v>
      </c>
      <c r="AS171" t="s">
        <v>2240</v>
      </c>
      <c r="AT171" t="s">
        <v>2241</v>
      </c>
      <c r="AU171">
        <v>2014</v>
      </c>
      <c r="AV171" t="s">
        <v>2242</v>
      </c>
      <c r="AW171">
        <v>38091.089</v>
      </c>
    </row>
    <row r="172" spans="1:49" x14ac:dyDescent="0.25">
      <c r="A172" s="5" t="s">
        <v>557</v>
      </c>
      <c r="B172" s="5" t="str">
        <f>INDEX(Regions!B:B,MATCH(A172,Regions!A:A,0))</f>
        <v>South-East Asia</v>
      </c>
      <c r="C172" t="s">
        <v>1518</v>
      </c>
      <c r="D172" s="5" t="s">
        <v>1519</v>
      </c>
      <c r="E172" s="5" t="s">
        <v>1520</v>
      </c>
      <c r="F172" s="5">
        <v>764</v>
      </c>
      <c r="G172" s="33">
        <f t="shared" si="10"/>
        <v>9.3812225180033657E-3</v>
      </c>
      <c r="H172" s="5" t="str">
        <f t="shared" si="11"/>
        <v/>
      </c>
      <c r="I172" s="5" t="str">
        <f t="shared" si="12"/>
        <v/>
      </c>
      <c r="J172" s="5" t="str">
        <f t="shared" si="13"/>
        <v/>
      </c>
      <c r="K172" s="5" t="str">
        <f t="shared" si="14"/>
        <v/>
      </c>
      <c r="S172" s="32" t="s">
        <v>2253</v>
      </c>
      <c r="T172" s="32" t="s">
        <v>1415</v>
      </c>
      <c r="U172" s="32" t="s">
        <v>500</v>
      </c>
      <c r="W172" t="s">
        <v>984</v>
      </c>
      <c r="X172" t="s">
        <v>2529</v>
      </c>
      <c r="Y172" t="s">
        <v>517</v>
      </c>
      <c r="AA172" s="15" t="s">
        <v>1047</v>
      </c>
      <c r="AB172" s="15" t="s">
        <v>2526</v>
      </c>
      <c r="AC172" s="15" t="s">
        <v>500</v>
      </c>
      <c r="AE172" t="s">
        <v>940</v>
      </c>
      <c r="AF172" t="s">
        <v>2530</v>
      </c>
      <c r="AG172" t="s">
        <v>2498</v>
      </c>
      <c r="AH172" t="s">
        <v>511</v>
      </c>
      <c r="AJ172" s="28" t="s">
        <v>1247</v>
      </c>
      <c r="AK172" s="28" t="s">
        <v>1247</v>
      </c>
      <c r="AL172" s="28" t="s">
        <v>481</v>
      </c>
      <c r="AM172" s="28" t="s">
        <v>613</v>
      </c>
      <c r="AN172" s="28" t="s">
        <v>9</v>
      </c>
      <c r="AO172" s="28"/>
      <c r="AQ172" t="s">
        <v>795</v>
      </c>
      <c r="AR172" t="s">
        <v>796</v>
      </c>
      <c r="AS172" t="s">
        <v>2240</v>
      </c>
      <c r="AT172" t="s">
        <v>2241</v>
      </c>
      <c r="AU172">
        <v>2014</v>
      </c>
      <c r="AV172" t="s">
        <v>2242</v>
      </c>
      <c r="AW172">
        <v>10418.218000000001</v>
      </c>
    </row>
    <row r="173" spans="1:49" x14ac:dyDescent="0.25">
      <c r="A173" s="5" t="s">
        <v>557</v>
      </c>
      <c r="B173" s="5" t="str">
        <f>INDEX(Regions!B:B,MATCH(A173,Regions!A:A,0))</f>
        <v>South-East Asia</v>
      </c>
      <c r="C173" t="s">
        <v>1528</v>
      </c>
      <c r="D173" s="5" t="s">
        <v>1529</v>
      </c>
      <c r="E173" s="5" t="s">
        <v>1530</v>
      </c>
      <c r="F173" s="5">
        <v>626</v>
      </c>
      <c r="G173" s="33">
        <f t="shared" si="10"/>
        <v>1.6097110284267059E-4</v>
      </c>
      <c r="H173" s="5" t="str">
        <f t="shared" si="11"/>
        <v/>
      </c>
      <c r="I173" s="5" t="e">
        <f t="shared" si="12"/>
        <v>#N/A</v>
      </c>
      <c r="J173" s="5" t="str">
        <f t="shared" si="13"/>
        <v>OAS</v>
      </c>
      <c r="K173" s="5" t="str">
        <f t="shared" si="14"/>
        <v/>
      </c>
      <c r="S173" s="32" t="s">
        <v>2246</v>
      </c>
      <c r="T173" s="32" t="s">
        <v>1477</v>
      </c>
      <c r="U173" s="32" t="s">
        <v>517</v>
      </c>
      <c r="W173" t="s">
        <v>1117</v>
      </c>
      <c r="X173" t="s">
        <v>1115</v>
      </c>
      <c r="Y173" t="s">
        <v>517</v>
      </c>
      <c r="AA173" s="15" t="s">
        <v>1067</v>
      </c>
      <c r="AB173" s="15" t="s">
        <v>2526</v>
      </c>
      <c r="AC173" s="15" t="s">
        <v>500</v>
      </c>
      <c r="AE173" t="s">
        <v>1034</v>
      </c>
      <c r="AF173" t="s">
        <v>2531</v>
      </c>
      <c r="AG173" t="s">
        <v>1211</v>
      </c>
      <c r="AH173" t="s">
        <v>500</v>
      </c>
      <c r="AJ173" s="28" t="s">
        <v>1242</v>
      </c>
      <c r="AK173" s="28" t="s">
        <v>2270</v>
      </c>
      <c r="AL173" s="28" t="s">
        <v>481</v>
      </c>
      <c r="AM173" s="28"/>
      <c r="AN173" s="28" t="s">
        <v>9</v>
      </c>
      <c r="AO173" s="28"/>
      <c r="AQ173" t="s">
        <v>1684</v>
      </c>
      <c r="AR173" t="s">
        <v>1682</v>
      </c>
      <c r="AS173" t="s">
        <v>2240</v>
      </c>
      <c r="AT173" t="s">
        <v>2241</v>
      </c>
      <c r="AU173">
        <v>2014</v>
      </c>
      <c r="AV173" t="s">
        <v>2242</v>
      </c>
      <c r="AW173">
        <v>3453.672</v>
      </c>
    </row>
    <row r="174" spans="1:49" x14ac:dyDescent="0.25">
      <c r="A174" s="5" t="s">
        <v>557</v>
      </c>
      <c r="B174" s="5" t="str">
        <f>INDEX(Regions!B:B,MATCH(A174,Regions!A:A,0))</f>
        <v>South-East Asia</v>
      </c>
      <c r="C174" t="s">
        <v>1635</v>
      </c>
      <c r="D174" s="5" t="s">
        <v>1636</v>
      </c>
      <c r="E174" s="5" t="s">
        <v>1637</v>
      </c>
      <c r="F174" s="5">
        <v>704</v>
      </c>
      <c r="G174" s="33">
        <f t="shared" si="10"/>
        <v>1.2571650802461197E-2</v>
      </c>
      <c r="H174" s="5" t="str">
        <f t="shared" si="11"/>
        <v/>
      </c>
      <c r="I174" s="5" t="str">
        <f t="shared" si="12"/>
        <v/>
      </c>
      <c r="J174" s="5" t="str">
        <f t="shared" si="13"/>
        <v/>
      </c>
      <c r="K174" s="5" t="str">
        <f t="shared" si="14"/>
        <v/>
      </c>
      <c r="S174" s="32" t="s">
        <v>2246</v>
      </c>
      <c r="T174" s="32" t="s">
        <v>1420</v>
      </c>
      <c r="U174" s="32" t="s">
        <v>517</v>
      </c>
      <c r="W174" t="s">
        <v>1166</v>
      </c>
      <c r="X174" t="s">
        <v>1164</v>
      </c>
      <c r="Y174" t="s">
        <v>517</v>
      </c>
      <c r="AA174" s="15" t="s">
        <v>1088</v>
      </c>
      <c r="AB174" s="15" t="s">
        <v>2526</v>
      </c>
      <c r="AC174" s="15" t="s">
        <v>500</v>
      </c>
      <c r="AE174" t="s">
        <v>1088</v>
      </c>
      <c r="AF174" t="s">
        <v>2532</v>
      </c>
      <c r="AG174" t="s">
        <v>1211</v>
      </c>
      <c r="AH174" t="s">
        <v>500</v>
      </c>
      <c r="AJ174" s="28" t="s">
        <v>1266</v>
      </c>
      <c r="AK174" s="28" t="s">
        <v>1266</v>
      </c>
      <c r="AL174" s="28" t="s">
        <v>563</v>
      </c>
      <c r="AM174" s="28"/>
      <c r="AN174" s="28" t="s">
        <v>9</v>
      </c>
      <c r="AO174" s="28"/>
      <c r="AQ174" t="s">
        <v>1349</v>
      </c>
      <c r="AR174" t="s">
        <v>1347</v>
      </c>
      <c r="AS174" t="s">
        <v>2240</v>
      </c>
      <c r="AT174" t="s">
        <v>2241</v>
      </c>
      <c r="AU174">
        <v>2014</v>
      </c>
      <c r="AV174" t="s">
        <v>2242</v>
      </c>
      <c r="AW174">
        <v>2459.1979999999999</v>
      </c>
    </row>
    <row r="175" spans="1:49" x14ac:dyDescent="0.25">
      <c r="A175" s="5" t="s">
        <v>557</v>
      </c>
      <c r="B175" s="5" t="str">
        <f>INDEX(Regions!B:B,MATCH(A175,Regions!A:A,0))</f>
        <v>South-East Asia</v>
      </c>
      <c r="C175" t="s">
        <v>1667</v>
      </c>
      <c r="D175" s="5" t="s">
        <v>1668</v>
      </c>
      <c r="E175" s="5" t="s">
        <v>1669</v>
      </c>
      <c r="F175" s="5">
        <v>158</v>
      </c>
      <c r="G175" s="33">
        <f t="shared" si="10"/>
        <v>3.220156229098567E-3</v>
      </c>
      <c r="H175" s="5" t="str">
        <f t="shared" si="11"/>
        <v>NotAccounted</v>
      </c>
      <c r="I175" s="5" t="str">
        <f t="shared" si="12"/>
        <v>CHN</v>
      </c>
      <c r="J175" s="5" t="str">
        <f t="shared" si="13"/>
        <v/>
      </c>
      <c r="K175" s="5" t="str">
        <f t="shared" si="14"/>
        <v>CHN</v>
      </c>
      <c r="L175" t="s">
        <v>2533</v>
      </c>
      <c r="S175" s="32" t="e">
        <v>#N/A</v>
      </c>
      <c r="T175" s="32" t="s">
        <v>1441</v>
      </c>
      <c r="U175" s="32" t="e">
        <v>#N/A</v>
      </c>
      <c r="W175" t="s">
        <v>1180</v>
      </c>
      <c r="X175" t="s">
        <v>1178</v>
      </c>
      <c r="Y175" t="s">
        <v>517</v>
      </c>
      <c r="AA175" s="15" t="s">
        <v>1106</v>
      </c>
      <c r="AB175" s="15" t="s">
        <v>2526</v>
      </c>
      <c r="AC175" s="15" t="s">
        <v>500</v>
      </c>
      <c r="AE175" t="s">
        <v>1563</v>
      </c>
      <c r="AF175" t="s">
        <v>2534</v>
      </c>
      <c r="AG175" t="s">
        <v>1563</v>
      </c>
      <c r="AH175" t="s">
        <v>500</v>
      </c>
      <c r="AJ175" s="28" t="s">
        <v>1295</v>
      </c>
      <c r="AK175" s="28" t="s">
        <v>2266</v>
      </c>
      <c r="AL175" s="28" t="s">
        <v>500</v>
      </c>
      <c r="AM175" s="28" t="s">
        <v>605</v>
      </c>
      <c r="AN175" s="28" t="s">
        <v>9</v>
      </c>
      <c r="AO175" s="28"/>
      <c r="AQ175" t="s">
        <v>1354</v>
      </c>
      <c r="AR175" t="s">
        <v>2535</v>
      </c>
      <c r="AS175" t="s">
        <v>2240</v>
      </c>
      <c r="AT175" t="s">
        <v>2241</v>
      </c>
      <c r="AU175">
        <v>2014</v>
      </c>
      <c r="AV175" t="s">
        <v>2242</v>
      </c>
      <c r="AW175">
        <v>50607.906999999999</v>
      </c>
    </row>
    <row r="176" spans="1:49" x14ac:dyDescent="0.25">
      <c r="A176" s="5" t="s">
        <v>517</v>
      </c>
      <c r="B176" s="5" t="str">
        <f>INDEX(Regions!B:B,MATCH(A176,Regions!A:A,0))</f>
        <v>Sub-Saharan Afr.</v>
      </c>
      <c r="C176" t="s">
        <v>514</v>
      </c>
      <c r="D176" s="5" t="s">
        <v>515</v>
      </c>
      <c r="E176" s="5" t="s">
        <v>516</v>
      </c>
      <c r="F176" s="5">
        <v>24</v>
      </c>
      <c r="G176" s="33">
        <f t="shared" si="10"/>
        <v>3.6930370382571038E-3</v>
      </c>
      <c r="H176" s="5" t="str">
        <f t="shared" si="11"/>
        <v/>
      </c>
      <c r="I176" s="5" t="str">
        <f t="shared" si="12"/>
        <v/>
      </c>
      <c r="J176" s="5" t="str">
        <f t="shared" si="13"/>
        <v/>
      </c>
      <c r="K176" s="5" t="str">
        <f t="shared" si="14"/>
        <v/>
      </c>
      <c r="S176" s="32" t="e">
        <v>#N/A</v>
      </c>
      <c r="T176" s="32" t="s">
        <v>2392</v>
      </c>
      <c r="U176" s="32" t="e">
        <v>#N/A</v>
      </c>
      <c r="W176" t="s">
        <v>1276</v>
      </c>
      <c r="X176" t="s">
        <v>1274</v>
      </c>
      <c r="Y176" t="s">
        <v>517</v>
      </c>
      <c r="AA176" s="15" t="s">
        <v>1295</v>
      </c>
      <c r="AB176" s="15" t="s">
        <v>2526</v>
      </c>
      <c r="AC176" s="15" t="s">
        <v>500</v>
      </c>
      <c r="AE176" t="s">
        <v>592</v>
      </c>
      <c r="AF176" t="s">
        <v>2536</v>
      </c>
      <c r="AG176" t="s">
        <v>1211</v>
      </c>
      <c r="AH176" t="s">
        <v>500</v>
      </c>
      <c r="AJ176" s="28" t="s">
        <v>1300</v>
      </c>
      <c r="AK176" s="28" t="s">
        <v>1300</v>
      </c>
      <c r="AL176" s="28" t="s">
        <v>481</v>
      </c>
      <c r="AM176" s="28" t="s">
        <v>613</v>
      </c>
      <c r="AN176" s="28" t="s">
        <v>9</v>
      </c>
      <c r="AO176" s="28"/>
      <c r="AQ176" t="s">
        <v>1359</v>
      </c>
      <c r="AR176" t="s">
        <v>2537</v>
      </c>
      <c r="AS176" t="s">
        <v>2240</v>
      </c>
      <c r="AT176" t="s">
        <v>2241</v>
      </c>
      <c r="AU176">
        <v>2014</v>
      </c>
      <c r="AV176" t="s">
        <v>2242</v>
      </c>
      <c r="AW176">
        <v>4073.4070000000002</v>
      </c>
    </row>
    <row r="177" spans="1:49" x14ac:dyDescent="0.25">
      <c r="A177" s="5" t="s">
        <v>517</v>
      </c>
      <c r="B177" s="5" t="str">
        <f>INDEX(Regions!B:B,MATCH(A177,Regions!A:A,0))</f>
        <v>Sub-Saharan Afr.</v>
      </c>
      <c r="C177" t="s">
        <v>633</v>
      </c>
      <c r="D177" s="5" t="s">
        <v>634</v>
      </c>
      <c r="E177" s="5" t="s">
        <v>635</v>
      </c>
      <c r="F177" s="5">
        <v>204</v>
      </c>
      <c r="G177" s="33">
        <f t="shared" si="10"/>
        <v>1.410066347095077E-3</v>
      </c>
      <c r="H177" s="5" t="str">
        <f t="shared" si="11"/>
        <v/>
      </c>
      <c r="I177" s="5" t="str">
        <f t="shared" si="12"/>
        <v/>
      </c>
      <c r="J177" s="5" t="str">
        <f t="shared" si="13"/>
        <v/>
      </c>
      <c r="K177" s="5" t="str">
        <f t="shared" si="14"/>
        <v/>
      </c>
      <c r="S177" s="32" t="s">
        <v>2243</v>
      </c>
      <c r="T177" s="32" t="s">
        <v>1453</v>
      </c>
      <c r="U177" s="32" t="s">
        <v>481</v>
      </c>
      <c r="W177" t="s">
        <v>1282</v>
      </c>
      <c r="X177" t="s">
        <v>1280</v>
      </c>
      <c r="Y177" t="s">
        <v>517</v>
      </c>
      <c r="AA177" s="15" t="s">
        <v>1349</v>
      </c>
      <c r="AB177" s="15" t="s">
        <v>2526</v>
      </c>
      <c r="AC177" s="15" t="s">
        <v>500</v>
      </c>
      <c r="AE177" t="s">
        <v>1039</v>
      </c>
      <c r="AF177" t="s">
        <v>2538</v>
      </c>
      <c r="AG177" t="s">
        <v>1211</v>
      </c>
      <c r="AH177" t="s">
        <v>500</v>
      </c>
      <c r="AJ177" s="28" t="s">
        <v>1316</v>
      </c>
      <c r="AK177" s="28" t="s">
        <v>1316</v>
      </c>
      <c r="AL177" s="28" t="s">
        <v>503</v>
      </c>
      <c r="AM177" s="28" t="s">
        <v>595</v>
      </c>
      <c r="AN177" s="28" t="s">
        <v>9</v>
      </c>
      <c r="AO177" s="28"/>
      <c r="AQ177" t="s">
        <v>853</v>
      </c>
      <c r="AR177" t="s">
        <v>2539</v>
      </c>
      <c r="AS177" t="s">
        <v>2240</v>
      </c>
      <c r="AT177" t="s">
        <v>2241</v>
      </c>
      <c r="AU177">
        <v>2014</v>
      </c>
      <c r="AV177" t="s">
        <v>2242</v>
      </c>
      <c r="AW177">
        <v>856.96100000000001</v>
      </c>
    </row>
    <row r="178" spans="1:49" x14ac:dyDescent="0.25">
      <c r="A178" s="5" t="s">
        <v>517</v>
      </c>
      <c r="B178" s="5" t="str">
        <f>INDEX(Regions!B:B,MATCH(A178,Regions!A:A,0))</f>
        <v>Sub-Saharan Afr.</v>
      </c>
      <c r="C178" t="s">
        <v>662</v>
      </c>
      <c r="D178" s="5" t="s">
        <v>663</v>
      </c>
      <c r="E178" s="5" t="s">
        <v>664</v>
      </c>
      <c r="F178" s="5">
        <v>72</v>
      </c>
      <c r="G178" s="33">
        <f t="shared" si="10"/>
        <v>2.8629674502082716E-4</v>
      </c>
      <c r="H178" s="5" t="str">
        <f t="shared" si="11"/>
        <v/>
      </c>
      <c r="I178" s="5" t="str">
        <f t="shared" si="12"/>
        <v/>
      </c>
      <c r="J178" s="5" t="str">
        <f t="shared" si="13"/>
        <v/>
      </c>
      <c r="K178" s="5" t="str">
        <f t="shared" si="14"/>
        <v/>
      </c>
      <c r="S178" s="32" t="s">
        <v>2246</v>
      </c>
      <c r="T178" s="32" t="s">
        <v>1436</v>
      </c>
      <c r="U178" s="32" t="s">
        <v>517</v>
      </c>
      <c r="W178" t="s">
        <v>1420</v>
      </c>
      <c r="X178" t="s">
        <v>1418</v>
      </c>
      <c r="Y178" t="s">
        <v>517</v>
      </c>
      <c r="AA178" s="15" t="s">
        <v>1415</v>
      </c>
      <c r="AB178" s="15" t="s">
        <v>2526</v>
      </c>
      <c r="AC178" s="15" t="s">
        <v>500</v>
      </c>
      <c r="AE178" t="s">
        <v>1047</v>
      </c>
      <c r="AF178" t="s">
        <v>2540</v>
      </c>
      <c r="AG178" t="s">
        <v>1211</v>
      </c>
      <c r="AH178" t="s">
        <v>500</v>
      </c>
      <c r="AJ178" s="28" t="s">
        <v>2281</v>
      </c>
      <c r="AK178" s="28" t="s">
        <v>2270</v>
      </c>
      <c r="AL178" s="28" t="s">
        <v>481</v>
      </c>
      <c r="AM178" s="28"/>
      <c r="AN178" s="28" t="s">
        <v>9</v>
      </c>
      <c r="AO178" s="28" t="s">
        <v>2541</v>
      </c>
      <c r="AQ178" t="s">
        <v>803</v>
      </c>
      <c r="AR178" t="s">
        <v>804</v>
      </c>
      <c r="AS178" t="s">
        <v>2240</v>
      </c>
      <c r="AT178" t="s">
        <v>2241</v>
      </c>
      <c r="AU178">
        <v>2014</v>
      </c>
      <c r="AV178" t="s">
        <v>2242</v>
      </c>
      <c r="AW178">
        <v>20035.93</v>
      </c>
    </row>
    <row r="179" spans="1:49" x14ac:dyDescent="0.25">
      <c r="A179" s="5" t="s">
        <v>517</v>
      </c>
      <c r="B179" s="5" t="str">
        <f>INDEX(Regions!B:B,MATCH(A179,Regions!A:A,0))</f>
        <v>Sub-Saharan Afr.</v>
      </c>
      <c r="C179" t="s">
        <v>694</v>
      </c>
      <c r="D179" s="5" t="s">
        <v>695</v>
      </c>
      <c r="E179" s="5" t="s">
        <v>696</v>
      </c>
      <c r="F179" s="5">
        <v>854</v>
      </c>
      <c r="G179" s="33">
        <f t="shared" si="10"/>
        <v>2.4106002853746433E-3</v>
      </c>
      <c r="H179" s="5" t="str">
        <f t="shared" si="11"/>
        <v/>
      </c>
      <c r="I179" s="5" t="str">
        <f t="shared" si="12"/>
        <v/>
      </c>
      <c r="J179" s="5" t="str">
        <f t="shared" si="13"/>
        <v/>
      </c>
      <c r="K179" s="5" t="str">
        <f t="shared" si="14"/>
        <v/>
      </c>
      <c r="S179" s="32" t="s">
        <v>2285</v>
      </c>
      <c r="T179" s="32" t="s">
        <v>885</v>
      </c>
      <c r="U179" s="32" t="s">
        <v>503</v>
      </c>
      <c r="W179" t="s">
        <v>1436</v>
      </c>
      <c r="X179" t="s">
        <v>2542</v>
      </c>
      <c r="Y179" t="s">
        <v>517</v>
      </c>
      <c r="AA179" s="15" t="s">
        <v>1509</v>
      </c>
      <c r="AB179" s="15" t="s">
        <v>2526</v>
      </c>
      <c r="AC179" s="15" t="s">
        <v>500</v>
      </c>
      <c r="AE179" t="s">
        <v>1067</v>
      </c>
      <c r="AF179" t="s">
        <v>2543</v>
      </c>
      <c r="AG179" t="s">
        <v>1211</v>
      </c>
      <c r="AH179" t="s">
        <v>500</v>
      </c>
      <c r="AJ179" s="28" t="s">
        <v>1332</v>
      </c>
      <c r="AK179" s="28" t="s">
        <v>1332</v>
      </c>
      <c r="AL179" s="28" t="s">
        <v>503</v>
      </c>
      <c r="AM179" s="28" t="s">
        <v>595</v>
      </c>
      <c r="AN179" s="28" t="s">
        <v>9</v>
      </c>
      <c r="AO179" s="28"/>
      <c r="AQ179" t="s">
        <v>1372</v>
      </c>
      <c r="AR179" t="s">
        <v>1370</v>
      </c>
      <c r="AS179" t="s">
        <v>2240</v>
      </c>
      <c r="AT179" t="s">
        <v>2241</v>
      </c>
      <c r="AU179">
        <v>2014</v>
      </c>
      <c r="AV179" t="s">
        <v>2242</v>
      </c>
      <c r="AW179">
        <v>144664.84099999999</v>
      </c>
    </row>
    <row r="180" spans="1:49" x14ac:dyDescent="0.25">
      <c r="A180" s="5" t="s">
        <v>517</v>
      </c>
      <c r="B180" s="5" t="str">
        <f>INDEX(Regions!B:B,MATCH(A180,Regions!A:A,0))</f>
        <v>Sub-Saharan Afr.</v>
      </c>
      <c r="C180" t="s">
        <v>703</v>
      </c>
      <c r="D180" s="5" t="s">
        <v>704</v>
      </c>
      <c r="E180" s="5" t="s">
        <v>705</v>
      </c>
      <c r="F180" s="5">
        <v>108</v>
      </c>
      <c r="G180" s="33">
        <f t="shared" si="10"/>
        <v>1.3494046114281232E-3</v>
      </c>
      <c r="H180" s="5" t="str">
        <f t="shared" si="11"/>
        <v/>
      </c>
      <c r="I180" s="5" t="str">
        <f t="shared" si="12"/>
        <v/>
      </c>
      <c r="J180" s="5" t="e">
        <f t="shared" si="13"/>
        <v>#N/A</v>
      </c>
      <c r="K180" s="5" t="str">
        <f t="shared" si="14"/>
        <v/>
      </c>
      <c r="S180" s="32" t="e">
        <v>#N/A</v>
      </c>
      <c r="T180" s="32" t="s">
        <v>1458</v>
      </c>
      <c r="U180" s="32" t="e">
        <v>#N/A</v>
      </c>
      <c r="W180" t="s">
        <v>1458</v>
      </c>
      <c r="X180" t="s">
        <v>1456</v>
      </c>
      <c r="Y180" t="s">
        <v>517</v>
      </c>
      <c r="AA180" s="15" t="s">
        <v>1596</v>
      </c>
      <c r="AB180" s="15" t="s">
        <v>2526</v>
      </c>
      <c r="AC180" s="15" t="s">
        <v>500</v>
      </c>
      <c r="AE180" t="s">
        <v>1106</v>
      </c>
      <c r="AF180" t="s">
        <v>2538</v>
      </c>
      <c r="AG180" t="s">
        <v>1211</v>
      </c>
      <c r="AH180" t="s">
        <v>500</v>
      </c>
      <c r="AJ180" s="28" t="s">
        <v>1337</v>
      </c>
      <c r="AK180" s="28" t="s">
        <v>1337</v>
      </c>
      <c r="AL180" s="28" t="s">
        <v>557</v>
      </c>
      <c r="AM180" s="28" t="s">
        <v>613</v>
      </c>
      <c r="AN180" s="28" t="s">
        <v>9</v>
      </c>
      <c r="AO180" s="28"/>
      <c r="AQ180" t="s">
        <v>1377</v>
      </c>
      <c r="AR180" t="s">
        <v>1375</v>
      </c>
      <c r="AS180" t="s">
        <v>2240</v>
      </c>
      <c r="AT180" t="s">
        <v>2241</v>
      </c>
      <c r="AU180">
        <v>2014</v>
      </c>
      <c r="AV180" t="s">
        <v>2242</v>
      </c>
      <c r="AW180">
        <v>11083.63</v>
      </c>
    </row>
    <row r="181" spans="1:49" x14ac:dyDescent="0.25">
      <c r="A181" s="5" t="s">
        <v>517</v>
      </c>
      <c r="B181" s="5" t="str">
        <f>INDEX(Regions!B:B,MATCH(A181,Regions!A:A,0))</f>
        <v>Sub-Saharan Afr.</v>
      </c>
      <c r="C181" t="s">
        <v>717</v>
      </c>
      <c r="D181" s="5" t="s">
        <v>718</v>
      </c>
      <c r="E181" s="5" t="s">
        <v>719</v>
      </c>
      <c r="F181" s="5">
        <v>120</v>
      </c>
      <c r="G181" s="33">
        <f t="shared" si="10"/>
        <v>3.109108701851721E-3</v>
      </c>
      <c r="H181" s="5" t="str">
        <f t="shared" si="11"/>
        <v/>
      </c>
      <c r="I181" s="5" t="str">
        <f t="shared" si="12"/>
        <v/>
      </c>
      <c r="J181" s="5" t="str">
        <f t="shared" si="13"/>
        <v/>
      </c>
      <c r="K181" s="5" t="str">
        <f t="shared" si="14"/>
        <v/>
      </c>
      <c r="S181" s="32" t="e">
        <v>#N/A</v>
      </c>
      <c r="T181" s="32" t="s">
        <v>2244</v>
      </c>
      <c r="U181" s="32" t="e">
        <v>#N/A</v>
      </c>
      <c r="W181" t="s">
        <v>1477</v>
      </c>
      <c r="X181" t="s">
        <v>1475</v>
      </c>
      <c r="Y181" t="s">
        <v>517</v>
      </c>
      <c r="AA181" s="15" t="s">
        <v>1642</v>
      </c>
      <c r="AB181" s="15" t="s">
        <v>2526</v>
      </c>
      <c r="AC181" s="15" t="s">
        <v>500</v>
      </c>
      <c r="AE181" t="s">
        <v>1295</v>
      </c>
      <c r="AF181" t="s">
        <v>2544</v>
      </c>
      <c r="AG181" t="s">
        <v>1211</v>
      </c>
      <c r="AH181" t="s">
        <v>500</v>
      </c>
      <c r="AJ181" s="28" t="s">
        <v>1305</v>
      </c>
      <c r="AK181" s="28" t="s">
        <v>2270</v>
      </c>
      <c r="AL181" s="28" t="s">
        <v>481</v>
      </c>
      <c r="AM181" s="28"/>
      <c r="AN181" s="28" t="s">
        <v>9</v>
      </c>
      <c r="AO181" s="28"/>
      <c r="AQ181" t="s">
        <v>2291</v>
      </c>
      <c r="AR181" t="s">
        <v>2292</v>
      </c>
      <c r="AS181" t="s">
        <v>2240</v>
      </c>
      <c r="AT181" t="s">
        <v>2241</v>
      </c>
      <c r="AU181">
        <v>2014</v>
      </c>
      <c r="AV181" t="s">
        <v>2242</v>
      </c>
      <c r="AW181">
        <v>9.6229999999999993</v>
      </c>
    </row>
    <row r="182" spans="1:49" x14ac:dyDescent="0.25">
      <c r="A182" s="5" t="s">
        <v>517</v>
      </c>
      <c r="B182" s="5" t="str">
        <f>INDEX(Regions!B:B,MATCH(A182,Regions!A:A,0))</f>
        <v>Sub-Saharan Afr.</v>
      </c>
      <c r="C182" t="s">
        <v>730</v>
      </c>
      <c r="D182" s="5" t="s">
        <v>731</v>
      </c>
      <c r="E182" s="5" t="s">
        <v>732</v>
      </c>
      <c r="F182" s="5">
        <v>132</v>
      </c>
      <c r="G182" s="33">
        <f t="shared" si="10"/>
        <v>7.1041856547577914E-5</v>
      </c>
      <c r="H182" s="5" t="str">
        <f t="shared" si="11"/>
        <v/>
      </c>
      <c r="I182" s="5" t="str">
        <f t="shared" si="12"/>
        <v/>
      </c>
      <c r="J182" s="5" t="str">
        <f t="shared" si="13"/>
        <v/>
      </c>
      <c r="K182" s="5" t="str">
        <f t="shared" si="14"/>
        <v/>
      </c>
      <c r="S182" s="32" t="s">
        <v>2545</v>
      </c>
      <c r="T182" s="32" t="s">
        <v>1425</v>
      </c>
      <c r="U182" s="32" t="s">
        <v>491</v>
      </c>
      <c r="W182" t="s">
        <v>1535</v>
      </c>
      <c r="X182" t="s">
        <v>1533</v>
      </c>
      <c r="Y182" t="s">
        <v>517</v>
      </c>
      <c r="AA182" s="15" t="s">
        <v>480</v>
      </c>
      <c r="AB182" s="15" t="s">
        <v>2546</v>
      </c>
      <c r="AC182" s="15" t="s">
        <v>481</v>
      </c>
      <c r="AE182" t="s">
        <v>1311</v>
      </c>
      <c r="AF182" t="s">
        <v>2538</v>
      </c>
      <c r="AG182" t="s">
        <v>1211</v>
      </c>
      <c r="AH182" t="s">
        <v>500</v>
      </c>
      <c r="AJ182" s="28" t="s">
        <v>1322</v>
      </c>
      <c r="AK182" s="28" t="s">
        <v>1322</v>
      </c>
      <c r="AL182" s="28" t="s">
        <v>481</v>
      </c>
      <c r="AM182" s="28" t="s">
        <v>613</v>
      </c>
      <c r="AN182" s="28" t="s">
        <v>9</v>
      </c>
      <c r="AO182" s="28"/>
      <c r="AQ182" t="s">
        <v>2392</v>
      </c>
      <c r="AR182" t="s">
        <v>2547</v>
      </c>
      <c r="AS182" t="s">
        <v>2240</v>
      </c>
      <c r="AT182" t="s">
        <v>2241</v>
      </c>
      <c r="AU182">
        <v>2014</v>
      </c>
      <c r="AV182" t="s">
        <v>2242</v>
      </c>
      <c r="AW182">
        <v>5.7389999999999999</v>
      </c>
    </row>
    <row r="183" spans="1:49" x14ac:dyDescent="0.25">
      <c r="A183" s="5" t="s">
        <v>517</v>
      </c>
      <c r="B183" s="5" t="str">
        <f>INDEX(Regions!B:B,MATCH(A183,Regions!A:A,0))</f>
        <v>Sub-Saharan Afr.</v>
      </c>
      <c r="C183" t="s">
        <v>744</v>
      </c>
      <c r="D183" s="5" t="s">
        <v>745</v>
      </c>
      <c r="E183" s="5" t="s">
        <v>746</v>
      </c>
      <c r="F183" s="5">
        <v>140</v>
      </c>
      <c r="G183" s="33">
        <f t="shared" si="10"/>
        <v>6.1192557552570699E-4</v>
      </c>
      <c r="H183" s="5" t="str">
        <f t="shared" si="11"/>
        <v/>
      </c>
      <c r="I183" s="5" t="str">
        <f t="shared" si="12"/>
        <v/>
      </c>
      <c r="J183" s="5" t="str">
        <f t="shared" si="13"/>
        <v/>
      </c>
      <c r="K183" s="5" t="str">
        <f t="shared" si="14"/>
        <v/>
      </c>
      <c r="S183" s="32" t="s">
        <v>2246</v>
      </c>
      <c r="T183" s="32" t="s">
        <v>1409</v>
      </c>
      <c r="U183" s="32" t="s">
        <v>517</v>
      </c>
      <c r="W183" t="s">
        <v>480</v>
      </c>
      <c r="X183" t="s">
        <v>478</v>
      </c>
      <c r="Y183" t="s">
        <v>2548</v>
      </c>
      <c r="AA183" s="15" t="s">
        <v>601</v>
      </c>
      <c r="AB183" s="15" t="s">
        <v>2546</v>
      </c>
      <c r="AC183" s="15" t="s">
        <v>481</v>
      </c>
      <c r="AE183" t="s">
        <v>1349</v>
      </c>
      <c r="AF183" t="s">
        <v>2549</v>
      </c>
      <c r="AG183" t="s">
        <v>1211</v>
      </c>
      <c r="AH183" t="s">
        <v>500</v>
      </c>
      <c r="AJ183" s="28" t="s">
        <v>788</v>
      </c>
      <c r="AK183" s="28" t="s">
        <v>788</v>
      </c>
      <c r="AL183" s="28" t="s">
        <v>491</v>
      </c>
      <c r="AM183" s="28"/>
      <c r="AN183" s="28" t="s">
        <v>9</v>
      </c>
      <c r="AO183" s="28"/>
      <c r="AQ183" t="s">
        <v>1381</v>
      </c>
      <c r="AR183" t="s">
        <v>1379</v>
      </c>
      <c r="AS183" t="s">
        <v>2240</v>
      </c>
      <c r="AT183" t="s">
        <v>2241</v>
      </c>
      <c r="AU183">
        <v>2014</v>
      </c>
      <c r="AV183" t="s">
        <v>2242</v>
      </c>
      <c r="AW183">
        <v>50.774000000000001</v>
      </c>
    </row>
    <row r="184" spans="1:49" x14ac:dyDescent="0.25">
      <c r="A184" s="5" t="s">
        <v>517</v>
      </c>
      <c r="B184" s="5" t="str">
        <f>INDEX(Regions!B:B,MATCH(A184,Regions!A:A,0))</f>
        <v>Sub-Saharan Afr.</v>
      </c>
      <c r="C184" t="s">
        <v>751</v>
      </c>
      <c r="D184" s="5" t="s">
        <v>752</v>
      </c>
      <c r="E184" s="5" t="s">
        <v>753</v>
      </c>
      <c r="F184" s="5">
        <v>148</v>
      </c>
      <c r="G184" s="33">
        <f t="shared" si="10"/>
        <v>1.8729295980295312E-3</v>
      </c>
      <c r="H184" s="5" t="str">
        <f t="shared" si="11"/>
        <v/>
      </c>
      <c r="I184" s="5" t="str">
        <f t="shared" si="12"/>
        <v/>
      </c>
      <c r="J184" s="5" t="str">
        <f t="shared" si="13"/>
        <v/>
      </c>
      <c r="K184" s="5" t="str">
        <f t="shared" si="14"/>
        <v/>
      </c>
      <c r="S184" s="32" t="s">
        <v>2264</v>
      </c>
      <c r="T184" s="32" t="s">
        <v>1488</v>
      </c>
      <c r="U184" s="32" t="s">
        <v>503</v>
      </c>
      <c r="W184" t="s">
        <v>2255</v>
      </c>
      <c r="X184" t="s">
        <v>2548</v>
      </c>
      <c r="Y184" t="s">
        <v>2548</v>
      </c>
      <c r="AA184" s="15" t="s">
        <v>648</v>
      </c>
      <c r="AB184" s="15" t="s">
        <v>2546</v>
      </c>
      <c r="AC184" s="15" t="s">
        <v>481</v>
      </c>
      <c r="AE184" t="s">
        <v>1415</v>
      </c>
      <c r="AF184" t="s">
        <v>2550</v>
      </c>
      <c r="AG184" t="s">
        <v>1211</v>
      </c>
      <c r="AH184" t="s">
        <v>500</v>
      </c>
      <c r="AJ184" s="28" t="s">
        <v>1684</v>
      </c>
      <c r="AK184" s="28" t="s">
        <v>2239</v>
      </c>
      <c r="AL184" s="28" t="s">
        <v>503</v>
      </c>
      <c r="AM184" s="28"/>
      <c r="AN184" s="28" t="s">
        <v>9</v>
      </c>
      <c r="AO184" s="28"/>
      <c r="AQ184" t="s">
        <v>1388</v>
      </c>
      <c r="AR184" t="s">
        <v>1386</v>
      </c>
      <c r="AS184" t="s">
        <v>2240</v>
      </c>
      <c r="AT184" t="s">
        <v>2241</v>
      </c>
      <c r="AU184">
        <v>2014</v>
      </c>
      <c r="AV184" t="s">
        <v>2242</v>
      </c>
      <c r="AW184">
        <v>178.29599999999999</v>
      </c>
    </row>
    <row r="185" spans="1:49" x14ac:dyDescent="0.25">
      <c r="A185" s="5" t="s">
        <v>517</v>
      </c>
      <c r="B185" s="5" t="str">
        <f>INDEX(Regions!B:B,MATCH(A185,Regions!A:A,0))</f>
        <v>Sub-Saharan Afr.</v>
      </c>
      <c r="C185" t="s">
        <v>777</v>
      </c>
      <c r="D185" s="5" t="s">
        <v>778</v>
      </c>
      <c r="E185" s="5" t="s">
        <v>779</v>
      </c>
      <c r="F185" s="5">
        <v>174</v>
      </c>
      <c r="G185" s="33">
        <f t="shared" si="10"/>
        <v>1.0409317797767037E-4</v>
      </c>
      <c r="H185" s="5" t="str">
        <f t="shared" si="11"/>
        <v/>
      </c>
      <c r="I185" s="5" t="str">
        <f t="shared" si="12"/>
        <v/>
      </c>
      <c r="J185" s="5" t="e">
        <f t="shared" si="13"/>
        <v>#N/A</v>
      </c>
      <c r="K185" s="5" t="str">
        <f t="shared" si="14"/>
        <v/>
      </c>
      <c r="S185" s="32" t="s">
        <v>2551</v>
      </c>
      <c r="T185" s="32" t="s">
        <v>810</v>
      </c>
      <c r="U185" s="32" t="s">
        <v>491</v>
      </c>
      <c r="W185" t="s">
        <v>2251</v>
      </c>
      <c r="X185" t="s">
        <v>2548</v>
      </c>
      <c r="Y185" t="s">
        <v>2548</v>
      </c>
      <c r="AA185" s="15" t="s">
        <v>2434</v>
      </c>
      <c r="AB185" s="15" t="s">
        <v>2546</v>
      </c>
      <c r="AC185" s="15" t="s">
        <v>481</v>
      </c>
      <c r="AE185" t="s">
        <v>1509</v>
      </c>
      <c r="AF185" t="s">
        <v>2538</v>
      </c>
      <c r="AG185" t="s">
        <v>1211</v>
      </c>
      <c r="AH185" t="s">
        <v>500</v>
      </c>
      <c r="AJ185" s="28" t="s">
        <v>837</v>
      </c>
      <c r="AK185" s="28" t="s">
        <v>837</v>
      </c>
      <c r="AL185" s="28" t="s">
        <v>557</v>
      </c>
      <c r="AM185" s="28" t="s">
        <v>613</v>
      </c>
      <c r="AN185" s="28" t="s">
        <v>9</v>
      </c>
      <c r="AO185" s="28"/>
      <c r="AQ185" t="s">
        <v>2244</v>
      </c>
      <c r="AR185" t="s">
        <v>2552</v>
      </c>
      <c r="AS185" t="s">
        <v>2240</v>
      </c>
      <c r="AT185" t="s">
        <v>2241</v>
      </c>
      <c r="AU185">
        <v>2014</v>
      </c>
      <c r="AV185" t="s">
        <v>2242</v>
      </c>
      <c r="AW185">
        <v>6.0750000000000002</v>
      </c>
    </row>
    <row r="186" spans="1:49" x14ac:dyDescent="0.25">
      <c r="A186" s="5" t="s">
        <v>517</v>
      </c>
      <c r="B186" s="5" t="str">
        <f>INDEX(Regions!B:B,MATCH(A186,Regions!A:A,0))</f>
        <v>Sub-Saharan Afr.</v>
      </c>
      <c r="C186" t="s">
        <v>783</v>
      </c>
      <c r="D186" s="5" t="s">
        <v>784</v>
      </c>
      <c r="E186" s="5" t="s">
        <v>785</v>
      </c>
      <c r="F186" s="5">
        <v>178</v>
      </c>
      <c r="G186" s="33">
        <f t="shared" si="10"/>
        <v>6.493196985000501E-4</v>
      </c>
      <c r="H186" s="5" t="str">
        <f t="shared" si="11"/>
        <v/>
      </c>
      <c r="I186" s="5" t="str">
        <f t="shared" si="12"/>
        <v/>
      </c>
      <c r="J186" s="5" t="str">
        <f t="shared" si="13"/>
        <v/>
      </c>
      <c r="K186" s="5" t="str">
        <f t="shared" si="14"/>
        <v/>
      </c>
      <c r="S186" s="32" t="s">
        <v>2553</v>
      </c>
      <c r="T186" s="32" t="s">
        <v>815</v>
      </c>
      <c r="U186" s="32" t="s">
        <v>491</v>
      </c>
      <c r="W186" t="s">
        <v>508</v>
      </c>
      <c r="X186" t="s">
        <v>2548</v>
      </c>
      <c r="Y186" t="s">
        <v>2548</v>
      </c>
      <c r="AA186" s="15" t="s">
        <v>550</v>
      </c>
      <c r="AB186" s="15" t="s">
        <v>551</v>
      </c>
      <c r="AC186" s="15" t="s">
        <v>550</v>
      </c>
      <c r="AE186" t="s">
        <v>1596</v>
      </c>
      <c r="AF186" t="s">
        <v>2554</v>
      </c>
      <c r="AG186" t="s">
        <v>1211</v>
      </c>
      <c r="AH186" t="s">
        <v>500</v>
      </c>
      <c r="AJ186" s="28" t="s">
        <v>795</v>
      </c>
      <c r="AK186" s="28" t="s">
        <v>795</v>
      </c>
      <c r="AL186" s="28" t="s">
        <v>491</v>
      </c>
      <c r="AM186" s="28"/>
      <c r="AN186" s="28" t="s">
        <v>9</v>
      </c>
      <c r="AO186" s="28"/>
      <c r="AQ186" t="s">
        <v>1393</v>
      </c>
      <c r="AR186" t="s">
        <v>1391</v>
      </c>
      <c r="AS186" t="s">
        <v>2240</v>
      </c>
      <c r="AT186" t="s">
        <v>2241</v>
      </c>
      <c r="AU186">
        <v>2014</v>
      </c>
      <c r="AV186" t="s">
        <v>2242</v>
      </c>
      <c r="AW186">
        <v>108.861</v>
      </c>
    </row>
    <row r="187" spans="1:49" x14ac:dyDescent="0.25">
      <c r="A187" s="5" t="s">
        <v>517</v>
      </c>
      <c r="B187" s="5" t="str">
        <f>INDEX(Regions!B:B,MATCH(A187,Regions!A:A,0))</f>
        <v>Sub-Saharan Afr.</v>
      </c>
      <c r="C187" t="s">
        <v>805</v>
      </c>
      <c r="D187" s="5" t="s">
        <v>806</v>
      </c>
      <c r="E187" s="5" t="s">
        <v>807</v>
      </c>
      <c r="F187" s="5">
        <v>384</v>
      </c>
      <c r="G187" s="33">
        <f t="shared" si="10"/>
        <v>3.1044251325327405E-3</v>
      </c>
      <c r="H187" s="5" t="str">
        <f t="shared" si="11"/>
        <v/>
      </c>
      <c r="I187" s="5" t="str">
        <f t="shared" si="12"/>
        <v/>
      </c>
      <c r="J187" s="5" t="str">
        <f t="shared" si="13"/>
        <v/>
      </c>
      <c r="K187" s="5" t="str">
        <f t="shared" si="14"/>
        <v/>
      </c>
      <c r="S187" s="32" t="s">
        <v>2555</v>
      </c>
      <c r="T187" s="32" t="s">
        <v>822</v>
      </c>
      <c r="U187" s="32" t="s">
        <v>491</v>
      </c>
      <c r="W187" t="s">
        <v>524</v>
      </c>
      <c r="X187" t="s">
        <v>2548</v>
      </c>
      <c r="Y187" t="s">
        <v>2548</v>
      </c>
      <c r="AA187" s="15" t="s">
        <v>1161</v>
      </c>
      <c r="AB187" s="15" t="s">
        <v>2546</v>
      </c>
      <c r="AC187" s="15" t="s">
        <v>481</v>
      </c>
      <c r="AE187" t="s">
        <v>1642</v>
      </c>
      <c r="AF187" t="s">
        <v>2538</v>
      </c>
      <c r="AG187" t="s">
        <v>1211</v>
      </c>
      <c r="AH187" t="s">
        <v>500</v>
      </c>
      <c r="AJ187" s="28" t="s">
        <v>1327</v>
      </c>
      <c r="AK187" s="28" t="s">
        <v>1327</v>
      </c>
      <c r="AL187" s="28" t="s">
        <v>503</v>
      </c>
      <c r="AM187" s="28" t="s">
        <v>595</v>
      </c>
      <c r="AN187" s="28" t="s">
        <v>9</v>
      </c>
      <c r="AO187" s="28"/>
      <c r="AQ187" t="s">
        <v>2483</v>
      </c>
      <c r="AR187" t="s">
        <v>2556</v>
      </c>
      <c r="AS187" t="s">
        <v>2240</v>
      </c>
      <c r="AT187" t="s">
        <v>2241</v>
      </c>
      <c r="AU187">
        <v>2014</v>
      </c>
      <c r="AV187" t="s">
        <v>2242</v>
      </c>
      <c r="AW187">
        <v>36.015000000000001</v>
      </c>
    </row>
    <row r="188" spans="1:49" x14ac:dyDescent="0.25">
      <c r="A188" s="5" t="s">
        <v>517</v>
      </c>
      <c r="B188" s="5" t="str">
        <f>INDEX(Regions!B:B,MATCH(A188,Regions!A:A,0))</f>
        <v>Sub-Saharan Afr.</v>
      </c>
      <c r="C188" t="s">
        <v>842</v>
      </c>
      <c r="D188" s="5" t="s">
        <v>843</v>
      </c>
      <c r="E188" s="5" t="s">
        <v>844</v>
      </c>
      <c r="F188" s="5">
        <v>180</v>
      </c>
      <c r="G188" s="33">
        <f t="shared" si="10"/>
        <v>1.0111652760148759E-2</v>
      </c>
      <c r="H188" s="5" t="str">
        <f t="shared" si="11"/>
        <v/>
      </c>
      <c r="I188" s="5" t="str">
        <f t="shared" si="12"/>
        <v/>
      </c>
      <c r="J188" s="5" t="e">
        <f t="shared" si="13"/>
        <v>#N/A</v>
      </c>
      <c r="K188" s="5" t="str">
        <f t="shared" si="14"/>
        <v/>
      </c>
      <c r="S188" s="32" t="s">
        <v>2293</v>
      </c>
      <c r="T188" s="32" t="s">
        <v>1495</v>
      </c>
      <c r="U188" s="32" t="s">
        <v>517</v>
      </c>
      <c r="W188" t="s">
        <v>2271</v>
      </c>
      <c r="X188" t="s">
        <v>2548</v>
      </c>
      <c r="Y188" t="s">
        <v>2548</v>
      </c>
      <c r="AA188" s="15" t="s">
        <v>1247</v>
      </c>
      <c r="AB188" s="15" t="s">
        <v>2546</v>
      </c>
      <c r="AC188" s="15" t="s">
        <v>481</v>
      </c>
      <c r="AE188" t="s">
        <v>879</v>
      </c>
      <c r="AF188" t="s">
        <v>2557</v>
      </c>
      <c r="AG188" t="s">
        <v>2558</v>
      </c>
      <c r="AH188" t="s">
        <v>500</v>
      </c>
      <c r="AJ188" s="28" t="s">
        <v>1311</v>
      </c>
      <c r="AK188" s="28" t="s">
        <v>1311</v>
      </c>
      <c r="AL188" s="28" t="s">
        <v>500</v>
      </c>
      <c r="AM188" s="28" t="s">
        <v>605</v>
      </c>
      <c r="AN188" s="28" t="s">
        <v>9</v>
      </c>
      <c r="AO188" s="28"/>
      <c r="AQ188" t="s">
        <v>1399</v>
      </c>
      <c r="AR188" t="s">
        <v>1397</v>
      </c>
      <c r="AS188" t="s">
        <v>2240</v>
      </c>
      <c r="AT188" t="s">
        <v>2241</v>
      </c>
      <c r="AU188">
        <v>2014</v>
      </c>
      <c r="AV188" t="s">
        <v>2242</v>
      </c>
      <c r="AW188">
        <v>192.221</v>
      </c>
    </row>
    <row r="189" spans="1:49" x14ac:dyDescent="0.25">
      <c r="A189" s="5" t="s">
        <v>517</v>
      </c>
      <c r="B189" s="5" t="str">
        <f>INDEX(Regions!B:B,MATCH(A189,Regions!A:A,0))</f>
        <v>Sub-Saharan Afr.</v>
      </c>
      <c r="C189" t="s">
        <v>855</v>
      </c>
      <c r="D189" s="5" t="s">
        <v>856</v>
      </c>
      <c r="E189" s="5" t="s">
        <v>857</v>
      </c>
      <c r="F189" s="5">
        <v>262</v>
      </c>
      <c r="G189" s="33">
        <f t="shared" si="10"/>
        <v>1.231883730133956E-4</v>
      </c>
      <c r="H189" s="5" t="str">
        <f t="shared" si="11"/>
        <v/>
      </c>
      <c r="I189" s="5" t="str">
        <f t="shared" si="12"/>
        <v/>
      </c>
      <c r="J189" s="5" t="str">
        <f t="shared" si="13"/>
        <v/>
      </c>
      <c r="K189" s="5" t="str">
        <f t="shared" si="14"/>
        <v/>
      </c>
      <c r="S189" s="32" t="e">
        <v>#N/A</v>
      </c>
      <c r="T189" s="32" t="s">
        <v>1429</v>
      </c>
      <c r="U189" s="32" t="e">
        <v>#N/A</v>
      </c>
      <c r="W189" t="s">
        <v>531</v>
      </c>
      <c r="X189" t="s">
        <v>2548</v>
      </c>
      <c r="Y189" t="s">
        <v>2548</v>
      </c>
      <c r="AA189" s="15" t="s">
        <v>1300</v>
      </c>
      <c r="AB189" s="15" t="s">
        <v>2546</v>
      </c>
      <c r="AC189" s="15" t="s">
        <v>481</v>
      </c>
      <c r="AE189" t="s">
        <v>1222</v>
      </c>
      <c r="AF189" t="s">
        <v>2559</v>
      </c>
      <c r="AG189" t="s">
        <v>2558</v>
      </c>
      <c r="AH189" t="s">
        <v>500</v>
      </c>
      <c r="AJ189" s="28" t="s">
        <v>924</v>
      </c>
      <c r="AK189" s="28" t="s">
        <v>2270</v>
      </c>
      <c r="AL189" s="28" t="s">
        <v>481</v>
      </c>
      <c r="AM189" s="28"/>
      <c r="AN189" s="28" t="s">
        <v>9</v>
      </c>
      <c r="AO189" s="28"/>
      <c r="AQ189" t="s">
        <v>1404</v>
      </c>
      <c r="AR189" t="s">
        <v>1402</v>
      </c>
      <c r="AS189" t="s">
        <v>2240</v>
      </c>
      <c r="AT189" t="s">
        <v>2241</v>
      </c>
      <c r="AU189">
        <v>2014</v>
      </c>
      <c r="AV189" t="s">
        <v>2242</v>
      </c>
      <c r="AW189">
        <v>32.948</v>
      </c>
    </row>
    <row r="190" spans="1:49" x14ac:dyDescent="0.25">
      <c r="A190" s="5" t="s">
        <v>517</v>
      </c>
      <c r="B190" s="5" t="str">
        <f>INDEX(Regions!B:B,MATCH(A190,Regions!A:A,0))</f>
        <v>Sub-Saharan Afr.</v>
      </c>
      <c r="C190" t="s">
        <v>888</v>
      </c>
      <c r="D190" s="5" t="s">
        <v>889</v>
      </c>
      <c r="E190" s="5" t="s">
        <v>890</v>
      </c>
      <c r="F190" s="5">
        <v>226</v>
      </c>
      <c r="G190" s="33">
        <f t="shared" si="10"/>
        <v>1.5383581493204544E-4</v>
      </c>
      <c r="H190" s="5" t="str">
        <f t="shared" si="11"/>
        <v/>
      </c>
      <c r="I190" s="5" t="str">
        <f t="shared" si="12"/>
        <v/>
      </c>
      <c r="J190" s="5" t="e">
        <f t="shared" si="13"/>
        <v>#N/A</v>
      </c>
      <c r="K190" s="5" t="str">
        <f t="shared" si="14"/>
        <v/>
      </c>
      <c r="S190" s="32" t="e">
        <v>#N/A</v>
      </c>
      <c r="T190" s="32" t="s">
        <v>1509</v>
      </c>
      <c r="U190" s="32" t="e">
        <v>#N/A</v>
      </c>
      <c r="W190" t="s">
        <v>554</v>
      </c>
      <c r="X190" t="s">
        <v>2548</v>
      </c>
      <c r="Y190" t="s">
        <v>2548</v>
      </c>
      <c r="AA190" s="15" t="s">
        <v>1472</v>
      </c>
      <c r="AB190" s="15" t="s">
        <v>2546</v>
      </c>
      <c r="AC190" s="15" t="s">
        <v>481</v>
      </c>
      <c r="AE190" t="s">
        <v>1558</v>
      </c>
      <c r="AF190" t="s">
        <v>2560</v>
      </c>
      <c r="AG190" t="s">
        <v>2558</v>
      </c>
      <c r="AH190" t="s">
        <v>500</v>
      </c>
      <c r="AJ190" s="28" t="s">
        <v>1349</v>
      </c>
      <c r="AK190" s="28" t="s">
        <v>2266</v>
      </c>
      <c r="AL190" s="28" t="s">
        <v>500</v>
      </c>
      <c r="AM190" s="28" t="s">
        <v>605</v>
      </c>
      <c r="AN190" s="28" t="s">
        <v>9</v>
      </c>
      <c r="AO190" s="28"/>
      <c r="AQ190" t="s">
        <v>1409</v>
      </c>
      <c r="AR190" t="s">
        <v>2561</v>
      </c>
      <c r="AS190" t="s">
        <v>2240</v>
      </c>
      <c r="AT190" t="s">
        <v>2241</v>
      </c>
      <c r="AU190">
        <v>2014</v>
      </c>
      <c r="AV190" t="s">
        <v>2242</v>
      </c>
      <c r="AW190">
        <v>195.727</v>
      </c>
    </row>
    <row r="191" spans="1:49" x14ac:dyDescent="0.25">
      <c r="A191" s="5" t="s">
        <v>517</v>
      </c>
      <c r="B191" s="5" t="str">
        <f>INDEX(Regions!B:B,MATCH(A191,Regions!A:A,0))</f>
        <v>Sub-Saharan Afr.</v>
      </c>
      <c r="C191" t="s">
        <v>893</v>
      </c>
      <c r="D191" s="5" t="s">
        <v>894</v>
      </c>
      <c r="E191" s="5" t="s">
        <v>895</v>
      </c>
      <c r="F191" s="5">
        <v>232</v>
      </c>
      <c r="G191" s="33">
        <f t="shared" si="10"/>
        <v>4.5391597218949231E-4</v>
      </c>
      <c r="H191" s="5" t="str">
        <f t="shared" si="11"/>
        <v/>
      </c>
      <c r="I191" s="5" t="str">
        <f t="shared" si="12"/>
        <v/>
      </c>
      <c r="J191" s="5" t="e">
        <f t="shared" si="13"/>
        <v>#N/A</v>
      </c>
      <c r="K191" s="5" t="str">
        <f t="shared" si="14"/>
        <v/>
      </c>
      <c r="S191" s="32" t="e">
        <v>#N/A</v>
      </c>
      <c r="T191" s="32" t="s">
        <v>1574</v>
      </c>
      <c r="U191" s="32" t="e">
        <v>#N/A</v>
      </c>
      <c r="W191" t="s">
        <v>610</v>
      </c>
      <c r="X191" t="s">
        <v>2548</v>
      </c>
      <c r="Y191" t="s">
        <v>2548</v>
      </c>
      <c r="AA191" s="15" t="s">
        <v>837</v>
      </c>
      <c r="AB191" s="15" t="s">
        <v>2562</v>
      </c>
      <c r="AC191" s="15" t="s">
        <v>557</v>
      </c>
      <c r="AE191" t="s">
        <v>499</v>
      </c>
      <c r="AF191" t="s">
        <v>2563</v>
      </c>
      <c r="AG191" t="s">
        <v>2558</v>
      </c>
      <c r="AH191" t="s">
        <v>500</v>
      </c>
      <c r="AJ191" s="28" t="s">
        <v>853</v>
      </c>
      <c r="AK191" s="28" t="s">
        <v>2276</v>
      </c>
      <c r="AL191" s="28" t="s">
        <v>517</v>
      </c>
      <c r="AM191" s="28"/>
      <c r="AN191" s="28" t="s">
        <v>9</v>
      </c>
      <c r="AO191" s="28"/>
      <c r="AQ191" t="s">
        <v>1415</v>
      </c>
      <c r="AR191" t="s">
        <v>1413</v>
      </c>
      <c r="AS191" t="s">
        <v>2240</v>
      </c>
      <c r="AT191" t="s">
        <v>2241</v>
      </c>
      <c r="AU191">
        <v>2014</v>
      </c>
      <c r="AV191" t="s">
        <v>2242</v>
      </c>
      <c r="AW191">
        <v>30916.597000000002</v>
      </c>
    </row>
    <row r="192" spans="1:49" x14ac:dyDescent="0.25">
      <c r="A192" s="5" t="s">
        <v>517</v>
      </c>
      <c r="B192" s="5" t="str">
        <f>INDEX(Regions!B:B,MATCH(A192,Regions!A:A,0))</f>
        <v>Sub-Saharan Afr.</v>
      </c>
      <c r="C192" t="s">
        <v>901</v>
      </c>
      <c r="D192" s="5" t="s">
        <v>902</v>
      </c>
      <c r="E192" s="5" t="s">
        <v>903</v>
      </c>
      <c r="F192" s="5">
        <v>231</v>
      </c>
      <c r="G192" s="33">
        <f t="shared" si="10"/>
        <v>1.3446244729630047E-2</v>
      </c>
      <c r="H192" s="5" t="str">
        <f t="shared" si="11"/>
        <v/>
      </c>
      <c r="I192" s="5" t="str">
        <f t="shared" si="12"/>
        <v/>
      </c>
      <c r="J192" s="5" t="str">
        <f t="shared" si="13"/>
        <v/>
      </c>
      <c r="K192" s="5" t="str">
        <f t="shared" si="14"/>
        <v/>
      </c>
      <c r="S192" s="32" t="s">
        <v>2246</v>
      </c>
      <c r="T192" s="32" t="s">
        <v>753</v>
      </c>
      <c r="U192" s="32" t="s">
        <v>517</v>
      </c>
      <c r="W192" t="s">
        <v>641</v>
      </c>
      <c r="X192" t="s">
        <v>2548</v>
      </c>
      <c r="Y192" t="s">
        <v>2548</v>
      </c>
      <c r="AA192" s="15" t="s">
        <v>1354</v>
      </c>
      <c r="AB192" s="15" t="s">
        <v>2562</v>
      </c>
      <c r="AC192" s="15" t="s">
        <v>557</v>
      </c>
      <c r="AE192" t="s">
        <v>1122</v>
      </c>
      <c r="AF192" t="s">
        <v>2563</v>
      </c>
      <c r="AG192" t="s">
        <v>2558</v>
      </c>
      <c r="AH192" t="s">
        <v>500</v>
      </c>
      <c r="AJ192" s="28" t="s">
        <v>803</v>
      </c>
      <c r="AK192" s="28" t="s">
        <v>803</v>
      </c>
      <c r="AL192" s="28" t="s">
        <v>491</v>
      </c>
      <c r="AM192" s="28"/>
      <c r="AN192" s="28" t="s">
        <v>9</v>
      </c>
      <c r="AO192" s="28"/>
      <c r="AQ192" t="s">
        <v>1420</v>
      </c>
      <c r="AR192" t="s">
        <v>1418</v>
      </c>
      <c r="AS192" t="s">
        <v>2240</v>
      </c>
      <c r="AT192" t="s">
        <v>2241</v>
      </c>
      <c r="AU192">
        <v>2014</v>
      </c>
      <c r="AV192" t="s">
        <v>2242</v>
      </c>
      <c r="AW192">
        <v>14174.739</v>
      </c>
    </row>
    <row r="193" spans="1:49" x14ac:dyDescent="0.25">
      <c r="A193" s="5" t="s">
        <v>517</v>
      </c>
      <c r="B193" s="5" t="str">
        <f>INDEX(Regions!B:B,MATCH(A193,Regions!A:A,0))</f>
        <v>Sub-Saharan Afr.</v>
      </c>
      <c r="C193" t="s">
        <v>927</v>
      </c>
      <c r="D193" s="5" t="s">
        <v>928</v>
      </c>
      <c r="E193" s="5" t="s">
        <v>929</v>
      </c>
      <c r="F193" s="5">
        <v>266</v>
      </c>
      <c r="G193" s="33">
        <f t="shared" si="10"/>
        <v>2.5822137330533119E-4</v>
      </c>
      <c r="H193" s="5" t="str">
        <f t="shared" si="11"/>
        <v/>
      </c>
      <c r="I193" s="5" t="str">
        <f t="shared" si="12"/>
        <v/>
      </c>
      <c r="J193" s="5" t="str">
        <f t="shared" si="13"/>
        <v/>
      </c>
      <c r="K193" s="5" t="str">
        <f t="shared" si="14"/>
        <v/>
      </c>
      <c r="S193" s="32" t="s">
        <v>2246</v>
      </c>
      <c r="T193" s="32" t="s">
        <v>1535</v>
      </c>
      <c r="U193" s="32" t="s">
        <v>517</v>
      </c>
      <c r="W193" t="s">
        <v>2282</v>
      </c>
      <c r="X193" t="s">
        <v>2548</v>
      </c>
      <c r="Y193" t="s">
        <v>2548</v>
      </c>
      <c r="AA193" s="15" t="s">
        <v>542</v>
      </c>
      <c r="AB193" s="15" t="s">
        <v>2564</v>
      </c>
      <c r="AC193" s="15" t="s">
        <v>542</v>
      </c>
      <c r="AE193" t="s">
        <v>1662</v>
      </c>
      <c r="AF193" t="s">
        <v>2563</v>
      </c>
      <c r="AG193" t="s">
        <v>2558</v>
      </c>
      <c r="AH193" t="s">
        <v>500</v>
      </c>
      <c r="AJ193" s="28" t="s">
        <v>1372</v>
      </c>
      <c r="AK193" s="28" t="s">
        <v>1372</v>
      </c>
      <c r="AL193" s="28" t="s">
        <v>511</v>
      </c>
      <c r="AM193" s="28"/>
      <c r="AN193" s="28" t="s">
        <v>9</v>
      </c>
      <c r="AO193" s="28"/>
      <c r="AQ193" t="s">
        <v>1425</v>
      </c>
      <c r="AR193" t="s">
        <v>1423</v>
      </c>
      <c r="AS193" t="s">
        <v>2240</v>
      </c>
      <c r="AT193" t="s">
        <v>2241</v>
      </c>
      <c r="AU193">
        <v>2014</v>
      </c>
      <c r="AV193" t="s">
        <v>2242</v>
      </c>
      <c r="AW193">
        <v>8898.2890000000007</v>
      </c>
    </row>
    <row r="194" spans="1:49" x14ac:dyDescent="0.25">
      <c r="A194" s="5" t="s">
        <v>517</v>
      </c>
      <c r="B194" s="5" t="str">
        <f>INDEX(Regions!B:B,MATCH(A194,Regions!A:A,0))</f>
        <v>Sub-Saharan Afr.</v>
      </c>
      <c r="C194" t="s">
        <v>933</v>
      </c>
      <c r="D194" s="5" t="s">
        <v>934</v>
      </c>
      <c r="E194" s="5" t="s">
        <v>935</v>
      </c>
      <c r="F194" s="5">
        <v>270</v>
      </c>
      <c r="G194" s="33">
        <f t="shared" si="10"/>
        <v>2.7744500736154006E-4</v>
      </c>
      <c r="H194" s="5" t="str">
        <f t="shared" si="11"/>
        <v/>
      </c>
      <c r="I194" s="5" t="str">
        <f t="shared" si="12"/>
        <v/>
      </c>
      <c r="J194" s="5" t="str">
        <f t="shared" si="13"/>
        <v/>
      </c>
      <c r="K194" s="5" t="str">
        <f t="shared" si="14"/>
        <v/>
      </c>
      <c r="S194" s="32" t="s">
        <v>2565</v>
      </c>
      <c r="T194" s="32" t="s">
        <v>1520</v>
      </c>
      <c r="U194" s="32" t="s">
        <v>557</v>
      </c>
      <c r="W194" t="s">
        <v>2307</v>
      </c>
      <c r="X194" t="s">
        <v>2548</v>
      </c>
      <c r="Y194" t="s">
        <v>2548</v>
      </c>
      <c r="AA194" s="15" t="s">
        <v>1010</v>
      </c>
      <c r="AB194" s="15" t="s">
        <v>2564</v>
      </c>
      <c r="AC194" s="15" t="s">
        <v>542</v>
      </c>
      <c r="AE194" t="s">
        <v>1282</v>
      </c>
      <c r="AF194" t="s">
        <v>2566</v>
      </c>
      <c r="AG194" t="s">
        <v>2567</v>
      </c>
      <c r="AH194" t="s">
        <v>517</v>
      </c>
      <c r="AJ194" s="28" t="s">
        <v>1377</v>
      </c>
      <c r="AK194" s="28" t="s">
        <v>1377</v>
      </c>
      <c r="AL194" s="28" t="s">
        <v>517</v>
      </c>
      <c r="AM194" s="28" t="s">
        <v>605</v>
      </c>
      <c r="AN194" s="28" t="s">
        <v>9</v>
      </c>
      <c r="AO194" s="28"/>
      <c r="AQ194" t="s">
        <v>1429</v>
      </c>
      <c r="AR194" t="s">
        <v>1427</v>
      </c>
      <c r="AS194" t="s">
        <v>2240</v>
      </c>
      <c r="AT194" t="s">
        <v>2241</v>
      </c>
      <c r="AU194">
        <v>2014</v>
      </c>
      <c r="AV194" t="s">
        <v>2242</v>
      </c>
      <c r="AW194">
        <v>94.215000000000003</v>
      </c>
    </row>
    <row r="195" spans="1:49" x14ac:dyDescent="0.25">
      <c r="A195" s="5" t="s">
        <v>517</v>
      </c>
      <c r="B195" s="5" t="str">
        <f>INDEX(Regions!B:B,MATCH(A195,Regions!A:A,0))</f>
        <v>Sub-Saharan Afr.</v>
      </c>
      <c r="C195" t="s">
        <v>947</v>
      </c>
      <c r="D195" s="5" t="s">
        <v>948</v>
      </c>
      <c r="E195" s="5" t="s">
        <v>949</v>
      </c>
      <c r="F195" s="5">
        <v>288</v>
      </c>
      <c r="G195" s="33">
        <f t="shared" si="10"/>
        <v>3.7317872415192216E-3</v>
      </c>
      <c r="H195" s="5" t="str">
        <f t="shared" si="11"/>
        <v/>
      </c>
      <c r="I195" s="5" t="str">
        <f t="shared" si="12"/>
        <v/>
      </c>
      <c r="J195" s="5" t="str">
        <f t="shared" si="13"/>
        <v/>
      </c>
      <c r="K195" s="5" t="str">
        <f t="shared" si="14"/>
        <v/>
      </c>
      <c r="S195" s="32" t="s">
        <v>511</v>
      </c>
      <c r="T195" s="32" t="s">
        <v>1514</v>
      </c>
      <c r="U195" s="32" t="s">
        <v>511</v>
      </c>
      <c r="W195" t="s">
        <v>2434</v>
      </c>
      <c r="X195" t="s">
        <v>2548</v>
      </c>
      <c r="Y195" t="s">
        <v>2548</v>
      </c>
      <c r="AA195" s="15" t="s">
        <v>1140</v>
      </c>
      <c r="AB195" s="15" t="s">
        <v>2564</v>
      </c>
      <c r="AC195" s="15" t="s">
        <v>542</v>
      </c>
      <c r="AE195" t="s">
        <v>1420</v>
      </c>
      <c r="AF195" t="s">
        <v>2568</v>
      </c>
      <c r="AG195" t="s">
        <v>2567</v>
      </c>
      <c r="AH195" t="s">
        <v>517</v>
      </c>
      <c r="AJ195" s="28" t="s">
        <v>1415</v>
      </c>
      <c r="AK195" s="28" t="s">
        <v>1415</v>
      </c>
      <c r="AL195" s="28" t="s">
        <v>500</v>
      </c>
      <c r="AM195" s="28" t="s">
        <v>605</v>
      </c>
      <c r="AN195" s="28" t="s">
        <v>9</v>
      </c>
      <c r="AO195" s="28"/>
      <c r="AQ195" t="s">
        <v>1436</v>
      </c>
      <c r="AR195" t="s">
        <v>1434</v>
      </c>
      <c r="AS195" t="s">
        <v>2240</v>
      </c>
      <c r="AT195" t="s">
        <v>2241</v>
      </c>
      <c r="AU195">
        <v>2014</v>
      </c>
      <c r="AV195" t="s">
        <v>2242</v>
      </c>
      <c r="AW195">
        <v>7017.1480000000001</v>
      </c>
    </row>
    <row r="196" spans="1:49" x14ac:dyDescent="0.25">
      <c r="A196" s="5" t="s">
        <v>517</v>
      </c>
      <c r="B196" s="5" t="str">
        <f>INDEX(Regions!B:B,MATCH(A196,Regions!A:A,0))</f>
        <v>Sub-Saharan Afr.</v>
      </c>
      <c r="C196" t="s">
        <v>977</v>
      </c>
      <c r="D196" s="5" t="s">
        <v>978</v>
      </c>
      <c r="E196" s="5" t="s">
        <v>979</v>
      </c>
      <c r="F196" s="5">
        <v>324</v>
      </c>
      <c r="G196" s="33">
        <f t="shared" ref="G196:G226" si="15">INDEX(AW:AW,MATCH(E196,AQ:AQ,0))/INDEX(AW:AW,MATCH("World",AR:AR,0))</f>
        <v>1.5285178287201553E-3</v>
      </c>
      <c r="H196" s="5" t="str">
        <f t="shared" ref="H196:H226" si="16">IF(INDEX(Y:Y,MATCH(E196,W:W,0))=A196,"",INDEX(Y:Y,MATCH(E196,W:W,0)))</f>
        <v/>
      </c>
      <c r="I196" s="5" t="str">
        <f t="shared" ref="I196:I226" si="17">IF(INDEX(AC:AC,MATCH(E196,AA:AA,0))=A196,"",INDEX(AC:AC,MATCH(E196,AA:AA,0)))</f>
        <v/>
      </c>
      <c r="J196" s="5" t="str">
        <f t="shared" ref="J196:J226" si="18">IF(INDEX(U:U,MATCH(E196,T:T,0))=A196,"",INDEX(U:U,MATCH(E196,T:T,0)))</f>
        <v/>
      </c>
      <c r="K196" s="5" t="str">
        <f t="shared" ref="K196:K226" si="19">IF(INDEX(AH:AH,MATCH(E196,AE:AE,0))=A196,"",INDEX(AH:AH,MATCH(E196,AE:AE,0)))</f>
        <v/>
      </c>
      <c r="S196" s="32" t="s">
        <v>511</v>
      </c>
      <c r="T196" s="32" t="s">
        <v>1569</v>
      </c>
      <c r="U196" s="32" t="s">
        <v>511</v>
      </c>
      <c r="W196" t="s">
        <v>739</v>
      </c>
      <c r="X196" t="s">
        <v>2548</v>
      </c>
      <c r="Y196" t="s">
        <v>2548</v>
      </c>
      <c r="AA196" s="15" t="s">
        <v>1207</v>
      </c>
      <c r="AB196" s="15" t="s">
        <v>2564</v>
      </c>
      <c r="AC196" s="15" t="s">
        <v>542</v>
      </c>
      <c r="AE196" t="s">
        <v>635</v>
      </c>
      <c r="AF196" t="s">
        <v>2569</v>
      </c>
      <c r="AG196" t="s">
        <v>2567</v>
      </c>
      <c r="AH196" t="s">
        <v>517</v>
      </c>
      <c r="AJ196" s="28" t="s">
        <v>1477</v>
      </c>
      <c r="AK196" s="28" t="s">
        <v>1477</v>
      </c>
      <c r="AL196" s="28" t="s">
        <v>517</v>
      </c>
      <c r="AM196" s="28" t="s">
        <v>605</v>
      </c>
      <c r="AN196" s="28" t="s">
        <v>9</v>
      </c>
      <c r="AO196" s="28"/>
      <c r="AQ196" t="s">
        <v>1441</v>
      </c>
      <c r="AR196" t="s">
        <v>1439</v>
      </c>
      <c r="AS196" t="s">
        <v>2240</v>
      </c>
      <c r="AT196" t="s">
        <v>2241</v>
      </c>
      <c r="AU196">
        <v>2014</v>
      </c>
      <c r="AV196" t="s">
        <v>2242</v>
      </c>
      <c r="AW196">
        <v>5525.6260000000002</v>
      </c>
    </row>
    <row r="197" spans="1:49" x14ac:dyDescent="0.25">
      <c r="A197" s="5" t="s">
        <v>517</v>
      </c>
      <c r="B197" s="5" t="str">
        <f>INDEX(Regions!B:B,MATCH(A197,Regions!A:A,0))</f>
        <v>Sub-Saharan Afr.</v>
      </c>
      <c r="C197" t="s">
        <v>982</v>
      </c>
      <c r="D197" s="5" t="s">
        <v>983</v>
      </c>
      <c r="E197" s="5" t="s">
        <v>984</v>
      </c>
      <c r="F197" s="5">
        <v>624</v>
      </c>
      <c r="G197" s="33">
        <f t="shared" si="15"/>
        <v>2.3199034206006729E-4</v>
      </c>
      <c r="H197" s="5" t="str">
        <f t="shared" si="16"/>
        <v/>
      </c>
      <c r="I197" s="5" t="str">
        <f t="shared" si="17"/>
        <v/>
      </c>
      <c r="J197" s="5" t="str">
        <f t="shared" si="18"/>
        <v/>
      </c>
      <c r="K197" s="5" t="str">
        <f t="shared" si="19"/>
        <v/>
      </c>
      <c r="S197" s="32" t="s">
        <v>2243</v>
      </c>
      <c r="T197" s="32" t="s">
        <v>1530</v>
      </c>
      <c r="U197" s="32" t="s">
        <v>481</v>
      </c>
      <c r="W197" t="s">
        <v>2245</v>
      </c>
      <c r="X197" t="s">
        <v>2548</v>
      </c>
      <c r="Y197" t="s">
        <v>2548</v>
      </c>
      <c r="AA197" s="15" t="s">
        <v>1669</v>
      </c>
      <c r="AB197" s="15" t="s">
        <v>2564</v>
      </c>
      <c r="AC197" s="15" t="s">
        <v>542</v>
      </c>
      <c r="AE197" t="s">
        <v>696</v>
      </c>
      <c r="AF197" t="s">
        <v>2570</v>
      </c>
      <c r="AG197" t="s">
        <v>2567</v>
      </c>
      <c r="AH197" t="s">
        <v>517</v>
      </c>
      <c r="AJ197" s="28" t="s">
        <v>1420</v>
      </c>
      <c r="AK197" s="28" t="s">
        <v>1420</v>
      </c>
      <c r="AL197" s="28" t="s">
        <v>517</v>
      </c>
      <c r="AM197" s="28" t="s">
        <v>605</v>
      </c>
      <c r="AN197" s="28" t="s">
        <v>9</v>
      </c>
      <c r="AO197" s="28"/>
      <c r="AQ197" t="s">
        <v>2571</v>
      </c>
      <c r="AR197" t="s">
        <v>2572</v>
      </c>
      <c r="AS197" t="s">
        <v>2240</v>
      </c>
      <c r="AT197" t="s">
        <v>2241</v>
      </c>
      <c r="AU197">
        <v>2014</v>
      </c>
      <c r="AV197" t="s">
        <v>2242</v>
      </c>
      <c r="AW197">
        <v>38.875999999999998</v>
      </c>
    </row>
    <row r="198" spans="1:49" x14ac:dyDescent="0.25">
      <c r="A198" s="5" t="s">
        <v>517</v>
      </c>
      <c r="B198" s="5" t="str">
        <f>INDEX(Regions!B:B,MATCH(A198,Regions!A:A,0))</f>
        <v>Sub-Saharan Afr.</v>
      </c>
      <c r="C198" t="s">
        <v>1075</v>
      </c>
      <c r="D198" s="5" t="s">
        <v>1076</v>
      </c>
      <c r="E198" s="5" t="s">
        <v>1077</v>
      </c>
      <c r="F198" s="5">
        <v>404</v>
      </c>
      <c r="G198" s="33">
        <f t="shared" si="15"/>
        <v>6.4013973540367865E-3</v>
      </c>
      <c r="H198" s="5" t="str">
        <f t="shared" si="16"/>
        <v/>
      </c>
      <c r="I198" s="5" t="str">
        <f t="shared" si="17"/>
        <v/>
      </c>
      <c r="J198" s="5" t="str">
        <f t="shared" si="18"/>
        <v/>
      </c>
      <c r="K198" s="5" t="str">
        <f t="shared" si="19"/>
        <v/>
      </c>
      <c r="S198" s="32" t="e">
        <v>#N/A</v>
      </c>
      <c r="T198" s="32" t="s">
        <v>1547</v>
      </c>
      <c r="U198" s="32" t="e">
        <v>#N/A</v>
      </c>
      <c r="W198" t="s">
        <v>2247</v>
      </c>
      <c r="X198" t="s">
        <v>2548</v>
      </c>
      <c r="Y198" t="s">
        <v>2548</v>
      </c>
      <c r="AA198" s="15" t="s">
        <v>684</v>
      </c>
      <c r="AB198" s="15" t="s">
        <v>2573</v>
      </c>
      <c r="AC198" s="15" t="s">
        <v>557</v>
      </c>
      <c r="AE198" t="s">
        <v>732</v>
      </c>
      <c r="AF198" t="s">
        <v>2574</v>
      </c>
      <c r="AG198" t="s">
        <v>2567</v>
      </c>
      <c r="AH198" t="s">
        <v>517</v>
      </c>
      <c r="AJ198" s="28" t="s">
        <v>1441</v>
      </c>
      <c r="AK198" s="28" t="s">
        <v>503</v>
      </c>
      <c r="AL198" s="28" t="s">
        <v>557</v>
      </c>
      <c r="AM198" s="28" t="s">
        <v>613</v>
      </c>
      <c r="AN198" s="28" t="s">
        <v>9</v>
      </c>
      <c r="AO198" s="28"/>
      <c r="AQ198" t="s">
        <v>810</v>
      </c>
      <c r="AR198" t="s">
        <v>811</v>
      </c>
      <c r="AS198" t="s">
        <v>2240</v>
      </c>
      <c r="AT198" t="s">
        <v>2241</v>
      </c>
      <c r="AU198">
        <v>2014</v>
      </c>
      <c r="AV198" t="s">
        <v>2242</v>
      </c>
      <c r="AW198">
        <v>5428.8029999999999</v>
      </c>
    </row>
    <row r="199" spans="1:49" x14ac:dyDescent="0.25">
      <c r="A199" s="5" t="s">
        <v>517</v>
      </c>
      <c r="B199" s="5" t="str">
        <f>INDEX(Regions!B:B,MATCH(A199,Regions!A:A,0))</f>
        <v>Sub-Saharan Afr.</v>
      </c>
      <c r="C199" t="s">
        <v>1109</v>
      </c>
      <c r="D199" s="5" t="s">
        <v>1110</v>
      </c>
      <c r="E199" s="5" t="s">
        <v>1111</v>
      </c>
      <c r="F199" s="5">
        <v>426</v>
      </c>
      <c r="G199" s="33">
        <f t="shared" si="15"/>
        <v>2.8010466831612297E-4</v>
      </c>
      <c r="H199" s="5" t="str">
        <f t="shared" si="16"/>
        <v/>
      </c>
      <c r="I199" s="5" t="str">
        <f t="shared" si="17"/>
        <v/>
      </c>
      <c r="J199" s="5" t="str">
        <f t="shared" si="18"/>
        <v/>
      </c>
      <c r="K199" s="5" t="str">
        <f t="shared" si="19"/>
        <v/>
      </c>
      <c r="S199" s="32" t="s">
        <v>2264</v>
      </c>
      <c r="T199" s="32" t="s">
        <v>1553</v>
      </c>
      <c r="U199" s="32" t="s">
        <v>503</v>
      </c>
      <c r="W199" t="s">
        <v>792</v>
      </c>
      <c r="X199" t="s">
        <v>2548</v>
      </c>
      <c r="Y199" t="s">
        <v>2548</v>
      </c>
      <c r="AA199" s="15" t="s">
        <v>712</v>
      </c>
      <c r="AB199" s="15" t="s">
        <v>2573</v>
      </c>
      <c r="AC199" s="15" t="s">
        <v>557</v>
      </c>
      <c r="AE199" t="s">
        <v>807</v>
      </c>
      <c r="AF199" t="s">
        <v>2575</v>
      </c>
      <c r="AG199" t="s">
        <v>2567</v>
      </c>
      <c r="AH199" t="s">
        <v>517</v>
      </c>
      <c r="AJ199" s="28" t="s">
        <v>2335</v>
      </c>
      <c r="AK199" s="28" t="s">
        <v>2299</v>
      </c>
      <c r="AL199" s="28" t="s">
        <v>517</v>
      </c>
      <c r="AM199" s="28"/>
      <c r="AN199" s="28" t="s">
        <v>9</v>
      </c>
      <c r="AO199" s="28" t="s">
        <v>2576</v>
      </c>
      <c r="AQ199" t="s">
        <v>815</v>
      </c>
      <c r="AR199" t="s">
        <v>816</v>
      </c>
      <c r="AS199" t="s">
        <v>2240</v>
      </c>
      <c r="AT199" t="s">
        <v>2241</v>
      </c>
      <c r="AU199">
        <v>2014</v>
      </c>
      <c r="AV199" t="s">
        <v>2242</v>
      </c>
      <c r="AW199">
        <v>2067.4879999999998</v>
      </c>
    </row>
    <row r="200" spans="1:49" x14ac:dyDescent="0.25">
      <c r="A200" s="5" t="s">
        <v>517</v>
      </c>
      <c r="B200" s="5" t="str">
        <f>INDEX(Regions!B:B,MATCH(A200,Regions!A:A,0))</f>
        <v>Sub-Saharan Afr.</v>
      </c>
      <c r="C200" t="s">
        <v>1115</v>
      </c>
      <c r="D200" s="5" t="s">
        <v>1116</v>
      </c>
      <c r="E200" s="5" t="s">
        <v>1117</v>
      </c>
      <c r="F200" s="5">
        <v>430</v>
      </c>
      <c r="G200" s="33">
        <f t="shared" si="15"/>
        <v>5.9757810078184053E-4</v>
      </c>
      <c r="H200" s="5" t="str">
        <f t="shared" si="16"/>
        <v/>
      </c>
      <c r="I200" s="5" t="str">
        <f t="shared" si="17"/>
        <v/>
      </c>
      <c r="J200" s="5" t="str">
        <f t="shared" si="18"/>
        <v/>
      </c>
      <c r="K200" s="5" t="str">
        <f t="shared" si="19"/>
        <v/>
      </c>
      <c r="S200" s="32" t="s">
        <v>1558</v>
      </c>
      <c r="T200" s="32" t="s">
        <v>1558</v>
      </c>
      <c r="U200" s="32" t="s">
        <v>500</v>
      </c>
      <c r="W200" t="s">
        <v>2345</v>
      </c>
      <c r="X200" t="s">
        <v>2548</v>
      </c>
      <c r="Y200" t="s">
        <v>2548</v>
      </c>
      <c r="AA200" s="15" t="s">
        <v>1098</v>
      </c>
      <c r="AB200" s="15" t="s">
        <v>2573</v>
      </c>
      <c r="AC200" s="15" t="s">
        <v>557</v>
      </c>
      <c r="AE200" t="s">
        <v>935</v>
      </c>
      <c r="AF200" t="s">
        <v>2574</v>
      </c>
      <c r="AG200" t="s">
        <v>2567</v>
      </c>
      <c r="AH200" t="s">
        <v>517</v>
      </c>
      <c r="AJ200" s="28" t="s">
        <v>2392</v>
      </c>
      <c r="AK200" s="28" t="s">
        <v>2299</v>
      </c>
      <c r="AL200" s="28" t="s">
        <v>517</v>
      </c>
      <c r="AM200" s="28"/>
      <c r="AN200" s="28" t="s">
        <v>9</v>
      </c>
      <c r="AO200" s="28" t="s">
        <v>2547</v>
      </c>
      <c r="AQ200" t="s">
        <v>1453</v>
      </c>
      <c r="AR200" t="s">
        <v>1451</v>
      </c>
      <c r="AS200" t="s">
        <v>2240</v>
      </c>
      <c r="AT200" t="s">
        <v>2241</v>
      </c>
      <c r="AU200">
        <v>2014</v>
      </c>
      <c r="AV200" t="s">
        <v>2242</v>
      </c>
      <c r="AW200">
        <v>587.07899999999995</v>
      </c>
    </row>
    <row r="201" spans="1:49" x14ac:dyDescent="0.25">
      <c r="A201" s="5" t="s">
        <v>517</v>
      </c>
      <c r="B201" s="5" t="str">
        <f>INDEX(Regions!B:B,MATCH(A201,Regions!A:A,0))</f>
        <v>Sub-Saharan Afr.</v>
      </c>
      <c r="C201" t="s">
        <v>1144</v>
      </c>
      <c r="D201" s="5" t="s">
        <v>1145</v>
      </c>
      <c r="E201" s="5" t="s">
        <v>1146</v>
      </c>
      <c r="F201" s="5">
        <v>450</v>
      </c>
      <c r="G201" s="33">
        <f t="shared" si="15"/>
        <v>3.2335774899028306E-3</v>
      </c>
      <c r="H201" s="5" t="str">
        <f t="shared" si="16"/>
        <v/>
      </c>
      <c r="I201" s="5" t="str">
        <f t="shared" si="17"/>
        <v/>
      </c>
      <c r="J201" s="5" t="str">
        <f t="shared" si="18"/>
        <v/>
      </c>
      <c r="K201" s="5" t="str">
        <f t="shared" si="19"/>
        <v/>
      </c>
      <c r="S201" s="32" t="s">
        <v>1563</v>
      </c>
      <c r="T201" s="32" t="s">
        <v>1563</v>
      </c>
      <c r="U201" s="32" t="s">
        <v>500</v>
      </c>
      <c r="W201" t="s">
        <v>862</v>
      </c>
      <c r="X201" t="s">
        <v>2548</v>
      </c>
      <c r="Y201" t="s">
        <v>2548</v>
      </c>
      <c r="AA201" s="15" t="s">
        <v>1156</v>
      </c>
      <c r="AB201" s="15" t="s">
        <v>2573</v>
      </c>
      <c r="AC201" s="15" t="s">
        <v>557</v>
      </c>
      <c r="AE201" t="s">
        <v>949</v>
      </c>
      <c r="AF201" t="s">
        <v>2577</v>
      </c>
      <c r="AG201" t="s">
        <v>2567</v>
      </c>
      <c r="AH201" t="s">
        <v>517</v>
      </c>
      <c r="AJ201" s="28" t="s">
        <v>1679</v>
      </c>
      <c r="AK201" s="28" t="s">
        <v>2299</v>
      </c>
      <c r="AL201" s="28" t="s">
        <v>517</v>
      </c>
      <c r="AM201" s="28"/>
      <c r="AN201" s="28" t="s">
        <v>9</v>
      </c>
      <c r="AO201" s="28" t="s">
        <v>2300</v>
      </c>
      <c r="AQ201" t="s">
        <v>1458</v>
      </c>
      <c r="AR201" t="s">
        <v>1456</v>
      </c>
      <c r="AS201" t="s">
        <v>2240</v>
      </c>
      <c r="AT201" t="s">
        <v>2241</v>
      </c>
      <c r="AU201">
        <v>2014</v>
      </c>
      <c r="AV201" t="s">
        <v>2242</v>
      </c>
      <c r="AW201">
        <v>13423.567999999999</v>
      </c>
    </row>
    <row r="202" spans="1:49" x14ac:dyDescent="0.25">
      <c r="A202" s="5" t="s">
        <v>517</v>
      </c>
      <c r="B202" s="5" t="str">
        <f>INDEX(Regions!B:B,MATCH(A202,Regions!A:A,0))</f>
        <v>Sub-Saharan Afr.</v>
      </c>
      <c r="C202" t="s">
        <v>1149</v>
      </c>
      <c r="D202" s="5" t="s">
        <v>1150</v>
      </c>
      <c r="E202" s="5" t="s">
        <v>1151</v>
      </c>
      <c r="F202" s="5">
        <v>454</v>
      </c>
      <c r="G202" s="33">
        <f t="shared" si="15"/>
        <v>2.2328859156856375E-3</v>
      </c>
      <c r="H202" s="5" t="str">
        <f t="shared" si="16"/>
        <v/>
      </c>
      <c r="I202" s="5" t="str">
        <f t="shared" si="17"/>
        <v/>
      </c>
      <c r="J202" s="5" t="str">
        <f t="shared" si="18"/>
        <v/>
      </c>
      <c r="K202" s="5" t="str">
        <f t="shared" si="19"/>
        <v/>
      </c>
      <c r="S202" s="32" t="e">
        <v>#N/A</v>
      </c>
      <c r="T202" s="32" t="s">
        <v>1580</v>
      </c>
      <c r="U202" s="32" t="e">
        <v>#N/A</v>
      </c>
      <c r="W202" t="s">
        <v>2364</v>
      </c>
      <c r="X202" t="s">
        <v>2548</v>
      </c>
      <c r="Y202" t="s">
        <v>2548</v>
      </c>
      <c r="AA202" s="15" t="s">
        <v>1232</v>
      </c>
      <c r="AB202" s="15" t="s">
        <v>2573</v>
      </c>
      <c r="AC202" s="15" t="s">
        <v>557</v>
      </c>
      <c r="AE202" t="s">
        <v>979</v>
      </c>
      <c r="AF202" t="s">
        <v>2578</v>
      </c>
      <c r="AG202" t="s">
        <v>2567</v>
      </c>
      <c r="AH202" t="s">
        <v>517</v>
      </c>
      <c r="AJ202" s="28" t="s">
        <v>1453</v>
      </c>
      <c r="AK202" s="28" t="s">
        <v>1453</v>
      </c>
      <c r="AL202" s="28" t="s">
        <v>481</v>
      </c>
      <c r="AM202" s="28"/>
      <c r="AN202" s="28" t="s">
        <v>9</v>
      </c>
      <c r="AO202" s="28"/>
      <c r="AQ202" t="s">
        <v>1464</v>
      </c>
      <c r="AR202" t="s">
        <v>1462</v>
      </c>
      <c r="AS202" t="s">
        <v>2240</v>
      </c>
      <c r="AT202" t="s">
        <v>2241</v>
      </c>
      <c r="AU202">
        <v>2014</v>
      </c>
      <c r="AV202" t="s">
        <v>2242</v>
      </c>
      <c r="AW202">
        <v>54544.186000000002</v>
      </c>
    </row>
    <row r="203" spans="1:49" x14ac:dyDescent="0.25">
      <c r="A203" s="5" t="s">
        <v>517</v>
      </c>
      <c r="B203" s="5" t="str">
        <f>INDEX(Regions!B:B,MATCH(A203,Regions!A:A,0))</f>
        <v>Sub-Saharan Afr.</v>
      </c>
      <c r="C203" t="s">
        <v>1164</v>
      </c>
      <c r="D203" s="5" t="s">
        <v>1165</v>
      </c>
      <c r="E203" s="5" t="s">
        <v>1166</v>
      </c>
      <c r="F203" s="5">
        <v>466</v>
      </c>
      <c r="G203" s="33">
        <f t="shared" si="15"/>
        <v>2.3212527842267575E-3</v>
      </c>
      <c r="H203" s="5" t="str">
        <f t="shared" si="16"/>
        <v/>
      </c>
      <c r="I203" s="5" t="str">
        <f t="shared" si="17"/>
        <v/>
      </c>
      <c r="J203" s="5" t="str">
        <f t="shared" si="18"/>
        <v/>
      </c>
      <c r="K203" s="5" t="str">
        <f t="shared" si="19"/>
        <v/>
      </c>
      <c r="S203" s="32" t="s">
        <v>2579</v>
      </c>
      <c r="T203" s="32" t="s">
        <v>1669</v>
      </c>
      <c r="U203" s="32" t="s">
        <v>557</v>
      </c>
      <c r="W203" t="s">
        <v>2275</v>
      </c>
      <c r="X203" t="s">
        <v>2548</v>
      </c>
      <c r="Y203" t="s">
        <v>2548</v>
      </c>
      <c r="AA203" s="15" t="s">
        <v>1337</v>
      </c>
      <c r="AB203" s="15" t="s">
        <v>2573</v>
      </c>
      <c r="AC203" s="15" t="s">
        <v>557</v>
      </c>
      <c r="AE203" t="s">
        <v>984</v>
      </c>
      <c r="AF203" t="s">
        <v>2574</v>
      </c>
      <c r="AG203" t="s">
        <v>2567</v>
      </c>
      <c r="AH203" t="s">
        <v>517</v>
      </c>
      <c r="AJ203" s="28" t="s">
        <v>1436</v>
      </c>
      <c r="AK203" s="28" t="s">
        <v>1436</v>
      </c>
      <c r="AL203" s="28" t="s">
        <v>517</v>
      </c>
      <c r="AM203" s="28" t="s">
        <v>605</v>
      </c>
      <c r="AN203" s="28" t="s">
        <v>9</v>
      </c>
      <c r="AO203" s="28"/>
      <c r="AQ203" t="s">
        <v>1483</v>
      </c>
      <c r="AR203" t="s">
        <v>1481</v>
      </c>
      <c r="AS203" t="s">
        <v>2240</v>
      </c>
      <c r="AT203" t="s">
        <v>2241</v>
      </c>
      <c r="AU203">
        <v>2014</v>
      </c>
      <c r="AV203" t="s">
        <v>2242</v>
      </c>
      <c r="AW203">
        <v>10554.88</v>
      </c>
    </row>
    <row r="204" spans="1:49" x14ac:dyDescent="0.25">
      <c r="A204" s="5" t="s">
        <v>517</v>
      </c>
      <c r="B204" s="5" t="str">
        <f>INDEX(Regions!B:B,MATCH(A204,Regions!A:A,0))</f>
        <v>Sub-Saharan Afr.</v>
      </c>
      <c r="C204" t="s">
        <v>1178</v>
      </c>
      <c r="D204" s="5" t="s">
        <v>1179</v>
      </c>
      <c r="E204" s="5" t="s">
        <v>1180</v>
      </c>
      <c r="F204" s="5">
        <v>478</v>
      </c>
      <c r="G204" s="33">
        <f t="shared" si="15"/>
        <v>5.3882650145473674E-4</v>
      </c>
      <c r="H204" s="5" t="str">
        <f t="shared" si="16"/>
        <v/>
      </c>
      <c r="I204" s="5" t="str">
        <f t="shared" si="17"/>
        <v/>
      </c>
      <c r="J204" s="5" t="str">
        <f t="shared" si="18"/>
        <v/>
      </c>
      <c r="K204" s="5" t="str">
        <f t="shared" si="19"/>
        <v/>
      </c>
      <c r="S204" s="32" t="s">
        <v>2246</v>
      </c>
      <c r="T204" s="32" t="s">
        <v>1606</v>
      </c>
      <c r="U204" s="32" t="s">
        <v>517</v>
      </c>
      <c r="W204" t="s">
        <v>955</v>
      </c>
      <c r="X204" t="s">
        <v>2548</v>
      </c>
      <c r="Y204" t="s">
        <v>2548</v>
      </c>
      <c r="AA204" s="15" t="s">
        <v>1441</v>
      </c>
      <c r="AB204" s="15" t="s">
        <v>2573</v>
      </c>
      <c r="AC204" s="15" t="s">
        <v>557</v>
      </c>
      <c r="AE204" t="s">
        <v>1117</v>
      </c>
      <c r="AF204" t="s">
        <v>2574</v>
      </c>
      <c r="AG204" t="s">
        <v>2567</v>
      </c>
      <c r="AH204" t="s">
        <v>517</v>
      </c>
      <c r="AJ204" s="28" t="s">
        <v>885</v>
      </c>
      <c r="AK204" s="28" t="s">
        <v>885</v>
      </c>
      <c r="AL204" s="28" t="s">
        <v>503</v>
      </c>
      <c r="AM204" s="28" t="s">
        <v>595</v>
      </c>
      <c r="AN204" s="28" t="s">
        <v>9</v>
      </c>
      <c r="AO204" s="28"/>
      <c r="AQ204" t="s">
        <v>692</v>
      </c>
      <c r="AR204" t="s">
        <v>693</v>
      </c>
      <c r="AS204" t="s">
        <v>2240</v>
      </c>
      <c r="AT204" t="s">
        <v>2241</v>
      </c>
      <c r="AU204">
        <v>2014</v>
      </c>
      <c r="AV204" t="s">
        <v>2242</v>
      </c>
      <c r="AW204">
        <v>46777.925000000003</v>
      </c>
    </row>
    <row r="205" spans="1:49" x14ac:dyDescent="0.25">
      <c r="A205" s="5" t="s">
        <v>517</v>
      </c>
      <c r="B205" s="5" t="str">
        <f>INDEX(Regions!B:B,MATCH(A205,Regions!A:A,0))</f>
        <v>Sub-Saharan Afr.</v>
      </c>
      <c r="C205" t="s">
        <v>1184</v>
      </c>
      <c r="D205" s="5" t="s">
        <v>1185</v>
      </c>
      <c r="E205" s="5" t="s">
        <v>1186</v>
      </c>
      <c r="F205" s="5">
        <v>480</v>
      </c>
      <c r="G205" s="33">
        <f t="shared" si="15"/>
        <v>1.7235159509094633E-4</v>
      </c>
      <c r="H205" s="5" t="str">
        <f t="shared" si="16"/>
        <v/>
      </c>
      <c r="I205" s="5" t="str">
        <f t="shared" si="17"/>
        <v/>
      </c>
      <c r="J205" s="5" t="str">
        <f t="shared" si="18"/>
        <v/>
      </c>
      <c r="K205" s="5" t="str">
        <f t="shared" si="19"/>
        <v/>
      </c>
      <c r="S205" s="32" t="s">
        <v>2246</v>
      </c>
      <c r="T205" s="32" t="s">
        <v>1585</v>
      </c>
      <c r="U205" s="32" t="s">
        <v>517</v>
      </c>
      <c r="W205" t="s">
        <v>963</v>
      </c>
      <c r="X205" t="s">
        <v>2548</v>
      </c>
      <c r="Y205" t="s">
        <v>2548</v>
      </c>
      <c r="AA205" s="15" t="s">
        <v>1520</v>
      </c>
      <c r="AB205" s="15" t="s">
        <v>2573</v>
      </c>
      <c r="AC205" s="15" t="s">
        <v>557</v>
      </c>
      <c r="AE205" t="s">
        <v>1166</v>
      </c>
      <c r="AF205" t="s">
        <v>2574</v>
      </c>
      <c r="AG205" t="s">
        <v>2567</v>
      </c>
      <c r="AH205" t="s">
        <v>517</v>
      </c>
      <c r="AJ205" s="28" t="s">
        <v>1404</v>
      </c>
      <c r="AK205" s="28" t="s">
        <v>2443</v>
      </c>
      <c r="AL205" s="28" t="s">
        <v>491</v>
      </c>
      <c r="AM205" s="28"/>
      <c r="AN205" s="28" t="s">
        <v>9</v>
      </c>
      <c r="AO205" s="28"/>
      <c r="AQ205" t="s">
        <v>1472</v>
      </c>
      <c r="AR205" t="s">
        <v>1470</v>
      </c>
      <c r="AS205" t="s">
        <v>2240</v>
      </c>
      <c r="AT205" t="s">
        <v>2241</v>
      </c>
      <c r="AU205">
        <v>2014</v>
      </c>
      <c r="AV205" t="s">
        <v>2242</v>
      </c>
      <c r="AW205">
        <v>20788.510999999999</v>
      </c>
    </row>
    <row r="206" spans="1:49" x14ac:dyDescent="0.25">
      <c r="A206" s="5" t="s">
        <v>517</v>
      </c>
      <c r="B206" s="5" t="str">
        <f>INDEX(Regions!B:B,MATCH(A206,Regions!A:A,0))</f>
        <v>Sub-Saharan Afr.</v>
      </c>
      <c r="C206" t="s">
        <v>1225</v>
      </c>
      <c r="D206" s="5" t="s">
        <v>1226</v>
      </c>
      <c r="E206" s="5" t="s">
        <v>1227</v>
      </c>
      <c r="F206" s="5">
        <v>508</v>
      </c>
      <c r="G206" s="33">
        <f t="shared" si="15"/>
        <v>3.6031724912338023E-3</v>
      </c>
      <c r="H206" s="5" t="str">
        <f t="shared" si="16"/>
        <v/>
      </c>
      <c r="I206" s="5" t="str">
        <f t="shared" si="17"/>
        <v/>
      </c>
      <c r="J206" s="5" t="str">
        <f t="shared" si="18"/>
        <v/>
      </c>
      <c r="K206" s="5" t="str">
        <f t="shared" si="19"/>
        <v/>
      </c>
      <c r="S206" s="32" t="s">
        <v>1590</v>
      </c>
      <c r="T206" s="32" t="s">
        <v>1590</v>
      </c>
      <c r="U206" s="32" t="s">
        <v>511</v>
      </c>
      <c r="W206" t="s">
        <v>2269</v>
      </c>
      <c r="X206" t="s">
        <v>2548</v>
      </c>
      <c r="Y206" t="s">
        <v>2548</v>
      </c>
      <c r="AA206" s="15" t="s">
        <v>1637</v>
      </c>
      <c r="AB206" s="15" t="s">
        <v>2573</v>
      </c>
      <c r="AC206" s="15" t="s">
        <v>557</v>
      </c>
      <c r="AE206" t="s">
        <v>1180</v>
      </c>
      <c r="AF206" t="s">
        <v>2574</v>
      </c>
      <c r="AG206" t="s">
        <v>2567</v>
      </c>
      <c r="AH206" t="s">
        <v>517</v>
      </c>
      <c r="AJ206" s="28" t="s">
        <v>1458</v>
      </c>
      <c r="AK206" s="28" t="s">
        <v>1458</v>
      </c>
      <c r="AL206" s="28" t="s">
        <v>517</v>
      </c>
      <c r="AM206" s="28" t="s">
        <v>605</v>
      </c>
      <c r="AN206" s="28" t="s">
        <v>9</v>
      </c>
      <c r="AO206" s="28"/>
      <c r="AQ206" t="s">
        <v>1477</v>
      </c>
      <c r="AR206" t="s">
        <v>1475</v>
      </c>
      <c r="AS206" t="s">
        <v>2240</v>
      </c>
      <c r="AT206" t="s">
        <v>2241</v>
      </c>
      <c r="AU206">
        <v>2014</v>
      </c>
      <c r="AV206" t="s">
        <v>2242</v>
      </c>
      <c r="AW206">
        <v>37977.654999999999</v>
      </c>
    </row>
    <row r="207" spans="1:49" x14ac:dyDescent="0.25">
      <c r="A207" s="5" t="s">
        <v>517</v>
      </c>
      <c r="B207" s="5" t="str">
        <f>INDEX(Regions!B:B,MATCH(A207,Regions!A:A,0))</f>
        <v>Sub-Saharan Afr.</v>
      </c>
      <c r="C207" t="s">
        <v>1235</v>
      </c>
      <c r="D207" s="5" t="s">
        <v>1236</v>
      </c>
      <c r="E207" s="5" t="s">
        <v>586</v>
      </c>
      <c r="F207" s="5">
        <v>516</v>
      </c>
      <c r="G207" s="33">
        <f t="shared" si="15"/>
        <v>3.1162884019743386E-4</v>
      </c>
      <c r="H207" s="5" t="str">
        <f t="shared" si="16"/>
        <v/>
      </c>
      <c r="I207" s="5" t="str">
        <f t="shared" si="17"/>
        <v/>
      </c>
      <c r="J207" s="5" t="str">
        <f t="shared" si="18"/>
        <v/>
      </c>
      <c r="K207" s="5" t="str">
        <f t="shared" si="19"/>
        <v/>
      </c>
      <c r="S207" s="32" t="s">
        <v>2580</v>
      </c>
      <c r="T207" s="32" t="s">
        <v>1615</v>
      </c>
      <c r="U207" s="32" t="s">
        <v>503</v>
      </c>
      <c r="W207" t="s">
        <v>1701</v>
      </c>
      <c r="X207" t="s">
        <v>2548</v>
      </c>
      <c r="Y207" t="s">
        <v>2548</v>
      </c>
      <c r="AA207" s="15" t="s">
        <v>1029</v>
      </c>
      <c r="AB207" s="15" t="s">
        <v>2581</v>
      </c>
      <c r="AC207" s="15" t="s">
        <v>557</v>
      </c>
      <c r="AE207" t="s">
        <v>1276</v>
      </c>
      <c r="AF207" t="s">
        <v>2574</v>
      </c>
      <c r="AG207" t="s">
        <v>2567</v>
      </c>
      <c r="AH207" t="s">
        <v>517</v>
      </c>
      <c r="AJ207" s="28" t="s">
        <v>2244</v>
      </c>
      <c r="AK207" s="28" t="s">
        <v>2299</v>
      </c>
      <c r="AL207" s="28" t="s">
        <v>517</v>
      </c>
      <c r="AM207" s="28"/>
      <c r="AN207" s="28" t="s">
        <v>9</v>
      </c>
      <c r="AO207" s="28" t="s">
        <v>2552</v>
      </c>
      <c r="AQ207" t="s">
        <v>1488</v>
      </c>
      <c r="AR207" t="s">
        <v>1486</v>
      </c>
      <c r="AS207" t="s">
        <v>2240</v>
      </c>
      <c r="AT207" t="s">
        <v>2241</v>
      </c>
      <c r="AU207">
        <v>2014</v>
      </c>
      <c r="AV207" t="s">
        <v>2242</v>
      </c>
      <c r="AW207">
        <v>553.27300000000002</v>
      </c>
    </row>
    <row r="208" spans="1:49" x14ac:dyDescent="0.25">
      <c r="A208" s="5" t="s">
        <v>517</v>
      </c>
      <c r="B208" s="5" t="str">
        <f>INDEX(Regions!B:B,MATCH(A208,Regions!A:A,0))</f>
        <v>Sub-Saharan Afr.</v>
      </c>
      <c r="C208" t="s">
        <v>1274</v>
      </c>
      <c r="D208" s="5" t="s">
        <v>1275</v>
      </c>
      <c r="E208" s="5" t="s">
        <v>1276</v>
      </c>
      <c r="F208" s="5">
        <v>562</v>
      </c>
      <c r="G208" s="33">
        <f t="shared" si="15"/>
        <v>2.6373423102348413E-3</v>
      </c>
      <c r="H208" s="5" t="str">
        <f t="shared" si="16"/>
        <v/>
      </c>
      <c r="I208" s="5" t="str">
        <f t="shared" si="17"/>
        <v/>
      </c>
      <c r="J208" s="5" t="str">
        <f t="shared" si="18"/>
        <v/>
      </c>
      <c r="K208" s="5" t="str">
        <f t="shared" si="19"/>
        <v/>
      </c>
      <c r="S208" s="32" t="s">
        <v>486</v>
      </c>
      <c r="T208" s="32" t="s">
        <v>486</v>
      </c>
      <c r="U208" s="32" t="s">
        <v>486</v>
      </c>
      <c r="W208" t="s">
        <v>2250</v>
      </c>
      <c r="X208" t="s">
        <v>2548</v>
      </c>
      <c r="Y208" t="s">
        <v>2548</v>
      </c>
      <c r="AA208" s="15" t="s">
        <v>2582</v>
      </c>
      <c r="AB208" s="15" t="s">
        <v>2581</v>
      </c>
      <c r="AC208" s="15" t="s">
        <v>557</v>
      </c>
      <c r="AE208" t="s">
        <v>2392</v>
      </c>
      <c r="AF208" t="s">
        <v>2574</v>
      </c>
      <c r="AG208" t="s">
        <v>2567</v>
      </c>
      <c r="AH208" t="s">
        <v>517</v>
      </c>
      <c r="AJ208" s="28" t="s">
        <v>1425</v>
      </c>
      <c r="AK208" s="28" t="s">
        <v>2289</v>
      </c>
      <c r="AL208" s="28" t="s">
        <v>491</v>
      </c>
      <c r="AM208" s="28"/>
      <c r="AN208" s="28" t="s">
        <v>9</v>
      </c>
      <c r="AO208" s="28"/>
      <c r="AQ208" t="s">
        <v>822</v>
      </c>
      <c r="AR208" t="s">
        <v>823</v>
      </c>
      <c r="AS208" t="s">
        <v>2240</v>
      </c>
      <c r="AT208" t="s">
        <v>2241</v>
      </c>
      <c r="AU208">
        <v>2014</v>
      </c>
      <c r="AV208" t="s">
        <v>2242</v>
      </c>
      <c r="AW208">
        <v>9692.1309999999994</v>
      </c>
    </row>
    <row r="209" spans="1:49" x14ac:dyDescent="0.25">
      <c r="A209" s="5" t="s">
        <v>517</v>
      </c>
      <c r="B209" s="5" t="str">
        <f>INDEX(Regions!B:B,MATCH(A209,Regions!A:A,0))</f>
        <v>Sub-Saharan Afr.</v>
      </c>
      <c r="C209" t="s">
        <v>1280</v>
      </c>
      <c r="D209" s="5" t="s">
        <v>1281</v>
      </c>
      <c r="E209" s="5" t="s">
        <v>1282</v>
      </c>
      <c r="F209" s="5">
        <v>566</v>
      </c>
      <c r="G209" s="33">
        <f t="shared" si="15"/>
        <v>2.4180658411358059E-2</v>
      </c>
      <c r="H209" s="5" t="str">
        <f t="shared" si="16"/>
        <v/>
      </c>
      <c r="I209" s="5" t="str">
        <f t="shared" si="17"/>
        <v/>
      </c>
      <c r="J209" s="5" t="str">
        <f t="shared" si="18"/>
        <v/>
      </c>
      <c r="K209" s="5" t="str">
        <f t="shared" si="19"/>
        <v/>
      </c>
      <c r="S209" s="32" t="s">
        <v>511</v>
      </c>
      <c r="T209" s="32" t="s">
        <v>1621</v>
      </c>
      <c r="U209" s="32" t="s">
        <v>511</v>
      </c>
      <c r="W209" t="s">
        <v>1000</v>
      </c>
      <c r="X209" t="s">
        <v>2548</v>
      </c>
      <c r="Y209" t="s">
        <v>2548</v>
      </c>
      <c r="AA209" s="15" t="s">
        <v>1322</v>
      </c>
      <c r="AB209" s="15" t="s">
        <v>2581</v>
      </c>
      <c r="AC209" s="15" t="s">
        <v>557</v>
      </c>
      <c r="AE209" t="s">
        <v>1436</v>
      </c>
      <c r="AF209" t="s">
        <v>2574</v>
      </c>
      <c r="AG209" t="s">
        <v>2567</v>
      </c>
      <c r="AH209" t="s">
        <v>517</v>
      </c>
      <c r="AJ209" s="28" t="s">
        <v>1483</v>
      </c>
      <c r="AK209" s="28" t="s">
        <v>1477</v>
      </c>
      <c r="AL209" s="28" t="s">
        <v>517</v>
      </c>
      <c r="AM209" s="28" t="s">
        <v>605</v>
      </c>
      <c r="AN209" s="28" t="s">
        <v>9</v>
      </c>
      <c r="AO209" s="28"/>
      <c r="AQ209" t="s">
        <v>1503</v>
      </c>
      <c r="AR209" t="s">
        <v>1501</v>
      </c>
      <c r="AS209" t="s">
        <v>2240</v>
      </c>
      <c r="AT209" t="s">
        <v>2241</v>
      </c>
      <c r="AU209">
        <v>2014</v>
      </c>
      <c r="AV209" t="s">
        <v>2242</v>
      </c>
      <c r="AW209">
        <v>8206.0020000000004</v>
      </c>
    </row>
    <row r="210" spans="1:49" x14ac:dyDescent="0.25">
      <c r="A210" s="5" t="s">
        <v>517</v>
      </c>
      <c r="B210" s="5" t="str">
        <f>INDEX(Regions!B:B,MATCH(A210,Regions!A:A,0))</f>
        <v>Sub-Saharan Afr.</v>
      </c>
      <c r="C210" t="s">
        <v>1362</v>
      </c>
      <c r="D210" s="5" t="s">
        <v>1363</v>
      </c>
      <c r="E210" s="5" t="s">
        <v>853</v>
      </c>
      <c r="F210" s="5">
        <v>638</v>
      </c>
      <c r="G210" s="33">
        <f t="shared" si="15"/>
        <v>1.1746769629955936E-4</v>
      </c>
      <c r="H210" s="5" t="str">
        <f t="shared" si="16"/>
        <v/>
      </c>
      <c r="I210" s="5" t="str">
        <f t="shared" si="17"/>
        <v/>
      </c>
      <c r="J210" s="5" t="e">
        <f t="shared" si="18"/>
        <v>#N/A</v>
      </c>
      <c r="K210" s="5" t="str">
        <f t="shared" si="19"/>
        <v>EUR</v>
      </c>
      <c r="S210" s="32" t="s">
        <v>2264</v>
      </c>
      <c r="T210" s="32" t="s">
        <v>1393</v>
      </c>
      <c r="U210" s="32" t="s">
        <v>503</v>
      </c>
      <c r="W210" t="s">
        <v>1010</v>
      </c>
      <c r="X210" t="s">
        <v>2548</v>
      </c>
      <c r="Y210" t="s">
        <v>2548</v>
      </c>
      <c r="AA210" s="15" t="s">
        <v>1061</v>
      </c>
      <c r="AB210" s="15" t="s">
        <v>1059</v>
      </c>
      <c r="AC210" s="15" t="s">
        <v>557</v>
      </c>
      <c r="AE210" t="s">
        <v>1535</v>
      </c>
      <c r="AF210" t="s">
        <v>2583</v>
      </c>
      <c r="AG210" t="s">
        <v>2567</v>
      </c>
      <c r="AH210" t="s">
        <v>517</v>
      </c>
      <c r="AJ210" s="28" t="s">
        <v>1409</v>
      </c>
      <c r="AK210" s="28" t="s">
        <v>2299</v>
      </c>
      <c r="AL210" s="28" t="s">
        <v>517</v>
      </c>
      <c r="AM210" s="28"/>
      <c r="AN210" s="28" t="s">
        <v>9</v>
      </c>
      <c r="AO210" s="28"/>
      <c r="AQ210" t="s">
        <v>1509</v>
      </c>
      <c r="AR210" t="s">
        <v>1507</v>
      </c>
      <c r="AS210" t="s">
        <v>2240</v>
      </c>
      <c r="AT210" t="s">
        <v>2241</v>
      </c>
      <c r="AU210">
        <v>2014</v>
      </c>
      <c r="AV210" t="s">
        <v>2242</v>
      </c>
      <c r="AW210">
        <v>18710.710999999999</v>
      </c>
    </row>
    <row r="211" spans="1:49" x14ac:dyDescent="0.25">
      <c r="A211" s="5" t="s">
        <v>517</v>
      </c>
      <c r="B211" s="5" t="str">
        <f>INDEX(Regions!B:B,MATCH(A211,Regions!A:A,0))</f>
        <v>Sub-Saharan Afr.</v>
      </c>
      <c r="C211" t="s">
        <v>1375</v>
      </c>
      <c r="D211" s="5" t="s">
        <v>1376</v>
      </c>
      <c r="E211" s="5" t="s">
        <v>1377</v>
      </c>
      <c r="F211" s="5">
        <v>646</v>
      </c>
      <c r="G211" s="33">
        <f t="shared" si="15"/>
        <v>1.5192855716149101E-3</v>
      </c>
      <c r="H211" s="5" t="str">
        <f t="shared" si="16"/>
        <v/>
      </c>
      <c r="I211" s="5" t="str">
        <f t="shared" si="17"/>
        <v/>
      </c>
      <c r="J211" s="5" t="str">
        <f t="shared" si="18"/>
        <v/>
      </c>
      <c r="K211" s="5" t="str">
        <f t="shared" si="19"/>
        <v/>
      </c>
      <c r="S211" s="32" t="s">
        <v>1632</v>
      </c>
      <c r="T211" s="32" t="s">
        <v>1632</v>
      </c>
      <c r="U211" s="32" t="s">
        <v>503</v>
      </c>
      <c r="W211" t="s">
        <v>1690</v>
      </c>
      <c r="X211" t="s">
        <v>2548</v>
      </c>
      <c r="Y211" t="s">
        <v>2548</v>
      </c>
      <c r="AA211" s="15" t="s">
        <v>2251</v>
      </c>
      <c r="AB211" s="15" t="s">
        <v>2584</v>
      </c>
      <c r="AC211" s="15" t="s">
        <v>563</v>
      </c>
      <c r="AE211" t="s">
        <v>719</v>
      </c>
      <c r="AF211" t="s">
        <v>2585</v>
      </c>
      <c r="AG211" t="s">
        <v>2567</v>
      </c>
      <c r="AH211" t="s">
        <v>517</v>
      </c>
      <c r="AJ211" s="28" t="s">
        <v>1488</v>
      </c>
      <c r="AK211" s="28" t="s">
        <v>2418</v>
      </c>
      <c r="AL211" s="28" t="s">
        <v>503</v>
      </c>
      <c r="AM211" s="28" t="s">
        <v>595</v>
      </c>
      <c r="AN211" s="28" t="s">
        <v>9</v>
      </c>
      <c r="AO211" s="28"/>
      <c r="AQ211" t="s">
        <v>1514</v>
      </c>
      <c r="AR211" t="s">
        <v>1512</v>
      </c>
      <c r="AS211" t="s">
        <v>2240</v>
      </c>
      <c r="AT211" t="s">
        <v>2241</v>
      </c>
      <c r="AU211">
        <v>2014</v>
      </c>
      <c r="AV211" t="s">
        <v>2242</v>
      </c>
      <c r="AW211">
        <v>8252.8330000000005</v>
      </c>
    </row>
    <row r="212" spans="1:49" x14ac:dyDescent="0.25">
      <c r="A212" s="5" t="s">
        <v>517</v>
      </c>
      <c r="B212" s="5" t="str">
        <f>INDEX(Regions!B:B,MATCH(A212,Regions!A:A,0))</f>
        <v>Sub-Saharan Afr.</v>
      </c>
      <c r="C212" t="s">
        <v>1407</v>
      </c>
      <c r="D212" s="5" t="s">
        <v>1408</v>
      </c>
      <c r="E212" s="5" t="s">
        <v>1409</v>
      </c>
      <c r="F212" s="5">
        <v>678</v>
      </c>
      <c r="G212" s="33">
        <f t="shared" si="15"/>
        <v>2.6829225359875018E-5</v>
      </c>
      <c r="H212" s="5" t="str">
        <f t="shared" si="16"/>
        <v>NotAccounted</v>
      </c>
      <c r="I212" s="5" t="str">
        <f t="shared" si="17"/>
        <v/>
      </c>
      <c r="J212" s="5" t="str">
        <f t="shared" si="18"/>
        <v/>
      </c>
      <c r="K212" s="5" t="str">
        <f t="shared" si="19"/>
        <v/>
      </c>
      <c r="S212" s="32" t="e">
        <v>#N/A</v>
      </c>
      <c r="T212" s="32" t="s">
        <v>677</v>
      </c>
      <c r="U212" s="32" t="e">
        <v>#N/A</v>
      </c>
      <c r="W212" t="s">
        <v>1695</v>
      </c>
      <c r="X212" t="s">
        <v>2548</v>
      </c>
      <c r="Y212" t="s">
        <v>2548</v>
      </c>
      <c r="AA212" s="15" t="s">
        <v>562</v>
      </c>
      <c r="AB212" s="15" t="s">
        <v>2584</v>
      </c>
      <c r="AC212" s="15" t="s">
        <v>563</v>
      </c>
      <c r="AE212" t="s">
        <v>746</v>
      </c>
      <c r="AF212" t="s">
        <v>2586</v>
      </c>
      <c r="AG212" t="s">
        <v>2567</v>
      </c>
      <c r="AH212" t="s">
        <v>517</v>
      </c>
      <c r="AJ212" s="28" t="s">
        <v>810</v>
      </c>
      <c r="AK212" s="28" t="s">
        <v>810</v>
      </c>
      <c r="AL212" s="28" t="s">
        <v>491</v>
      </c>
      <c r="AM212" s="28"/>
      <c r="AN212" s="28" t="s">
        <v>9</v>
      </c>
      <c r="AO212" s="28"/>
      <c r="AQ212" t="s">
        <v>1520</v>
      </c>
      <c r="AR212" t="s">
        <v>1518</v>
      </c>
      <c r="AS212" t="s">
        <v>2240</v>
      </c>
      <c r="AT212" t="s">
        <v>2241</v>
      </c>
      <c r="AU212">
        <v>2014</v>
      </c>
      <c r="AV212" t="s">
        <v>2242</v>
      </c>
      <c r="AW212">
        <v>68438.745999999999</v>
      </c>
    </row>
    <row r="213" spans="1:49" x14ac:dyDescent="0.25">
      <c r="A213" s="5" t="s">
        <v>517</v>
      </c>
      <c r="B213" s="5" t="str">
        <f>INDEX(Regions!B:B,MATCH(A213,Regions!A:A,0))</f>
        <v>Sub-Saharan Afr.</v>
      </c>
      <c r="C213" t="s">
        <v>1418</v>
      </c>
      <c r="D213" s="5" t="s">
        <v>1419</v>
      </c>
      <c r="E213" s="5" t="s">
        <v>1420</v>
      </c>
      <c r="F213" s="5">
        <v>686</v>
      </c>
      <c r="G213" s="33">
        <f t="shared" si="15"/>
        <v>1.9429984981551315E-3</v>
      </c>
      <c r="H213" s="5" t="str">
        <f t="shared" si="16"/>
        <v/>
      </c>
      <c r="I213" s="5" t="str">
        <f t="shared" si="17"/>
        <v/>
      </c>
      <c r="J213" s="5" t="str">
        <f t="shared" si="18"/>
        <v/>
      </c>
      <c r="K213" s="5" t="str">
        <f t="shared" si="19"/>
        <v/>
      </c>
      <c r="S213" s="32" t="s">
        <v>2587</v>
      </c>
      <c r="T213" s="32" t="s">
        <v>1637</v>
      </c>
      <c r="U213" s="32" t="s">
        <v>557</v>
      </c>
      <c r="W213" t="s">
        <v>1083</v>
      </c>
      <c r="X213" t="s">
        <v>2548</v>
      </c>
      <c r="Y213" t="s">
        <v>2548</v>
      </c>
      <c r="AA213" s="15" t="s">
        <v>2245</v>
      </c>
      <c r="AB213" s="15" t="s">
        <v>2584</v>
      </c>
      <c r="AC213" s="15" t="s">
        <v>563</v>
      </c>
      <c r="AE213" t="s">
        <v>753</v>
      </c>
      <c r="AF213" t="s">
        <v>2586</v>
      </c>
      <c r="AG213" t="s">
        <v>2567</v>
      </c>
      <c r="AH213" t="s">
        <v>517</v>
      </c>
      <c r="AJ213" s="28" t="s">
        <v>815</v>
      </c>
      <c r="AK213" s="28" t="s">
        <v>815</v>
      </c>
      <c r="AL213" s="28" t="s">
        <v>491</v>
      </c>
      <c r="AM213" s="28"/>
      <c r="AN213" s="28" t="s">
        <v>9</v>
      </c>
      <c r="AO213" s="28"/>
      <c r="AQ213" t="s">
        <v>1530</v>
      </c>
      <c r="AR213" t="s">
        <v>1528</v>
      </c>
      <c r="AS213" t="s">
        <v>2240</v>
      </c>
      <c r="AT213" t="s">
        <v>2241</v>
      </c>
      <c r="AU213">
        <v>2014</v>
      </c>
      <c r="AV213" t="s">
        <v>2242</v>
      </c>
      <c r="AW213">
        <v>1174.3309999999999</v>
      </c>
    </row>
    <row r="214" spans="1:49" x14ac:dyDescent="0.25">
      <c r="A214" s="5" t="s">
        <v>517</v>
      </c>
      <c r="B214" s="5" t="str">
        <f>INDEX(Regions!B:B,MATCH(A214,Regions!A:A,0))</f>
        <v>Sub-Saharan Afr.</v>
      </c>
      <c r="C214" t="s">
        <v>1427</v>
      </c>
      <c r="D214" s="5" t="s">
        <v>1428</v>
      </c>
      <c r="E214" s="5" t="s">
        <v>1429</v>
      </c>
      <c r="F214" s="5">
        <v>690</v>
      </c>
      <c r="G214" s="33">
        <f t="shared" si="15"/>
        <v>1.2914495533475836E-5</v>
      </c>
      <c r="H214" s="5" t="str">
        <f t="shared" si="16"/>
        <v>NotAccounted</v>
      </c>
      <c r="I214" s="5" t="str">
        <f t="shared" si="17"/>
        <v/>
      </c>
      <c r="J214" s="5" t="e">
        <f t="shared" si="18"/>
        <v>#N/A</v>
      </c>
      <c r="K214" s="5" t="str">
        <f t="shared" si="19"/>
        <v/>
      </c>
      <c r="S214" s="32" t="s">
        <v>2243</v>
      </c>
      <c r="T214" s="32" t="s">
        <v>1626</v>
      </c>
      <c r="U214" s="32" t="s">
        <v>481</v>
      </c>
      <c r="W214" t="s">
        <v>1128</v>
      </c>
      <c r="X214" t="s">
        <v>2548</v>
      </c>
      <c r="Y214" t="s">
        <v>2548</v>
      </c>
      <c r="AA214" s="15" t="s">
        <v>2247</v>
      </c>
      <c r="AB214" s="15" t="s">
        <v>2584</v>
      </c>
      <c r="AC214" s="15" t="s">
        <v>563</v>
      </c>
      <c r="AE214" t="s">
        <v>785</v>
      </c>
      <c r="AF214" t="s">
        <v>2586</v>
      </c>
      <c r="AG214" t="s">
        <v>2567</v>
      </c>
      <c r="AH214" t="s">
        <v>517</v>
      </c>
      <c r="AJ214" s="28" t="s">
        <v>822</v>
      </c>
      <c r="AK214" s="28" t="s">
        <v>822</v>
      </c>
      <c r="AL214" s="28" t="s">
        <v>491</v>
      </c>
      <c r="AM214" s="28"/>
      <c r="AN214" s="28" t="s">
        <v>9</v>
      </c>
      <c r="AO214" s="28"/>
      <c r="AQ214" t="s">
        <v>1535</v>
      </c>
      <c r="AR214" t="s">
        <v>1533</v>
      </c>
      <c r="AS214" t="s">
        <v>2240</v>
      </c>
      <c r="AT214" t="s">
        <v>2241</v>
      </c>
      <c r="AU214">
        <v>2014</v>
      </c>
      <c r="AV214" t="s">
        <v>2242</v>
      </c>
      <c r="AW214">
        <v>7138</v>
      </c>
    </row>
    <row r="215" spans="1:49" x14ac:dyDescent="0.25">
      <c r="A215" s="5" t="s">
        <v>517</v>
      </c>
      <c r="B215" s="5" t="str">
        <f>INDEX(Regions!B:B,MATCH(A215,Regions!A:A,0))</f>
        <v>Sub-Saharan Afr.</v>
      </c>
      <c r="C215" t="s">
        <v>1434</v>
      </c>
      <c r="D215" s="5" t="s">
        <v>1435</v>
      </c>
      <c r="E215" s="5" t="s">
        <v>1436</v>
      </c>
      <c r="F215" s="5">
        <v>694</v>
      </c>
      <c r="G215" s="33">
        <f t="shared" si="15"/>
        <v>9.6187365603926005E-4</v>
      </c>
      <c r="H215" s="5" t="str">
        <f t="shared" si="16"/>
        <v/>
      </c>
      <c r="I215" s="5" t="str">
        <f t="shared" si="17"/>
        <v/>
      </c>
      <c r="J215" s="5" t="str">
        <f t="shared" si="18"/>
        <v/>
      </c>
      <c r="K215" s="5" t="str">
        <f t="shared" si="19"/>
        <v/>
      </c>
      <c r="S215" s="32" t="s">
        <v>2243</v>
      </c>
      <c r="T215" s="32" t="s">
        <v>1399</v>
      </c>
      <c r="U215" s="32" t="s">
        <v>481</v>
      </c>
      <c r="W215" t="s">
        <v>1140</v>
      </c>
      <c r="X215" t="s">
        <v>2548</v>
      </c>
      <c r="Y215" t="s">
        <v>2548</v>
      </c>
      <c r="AA215" s="15" t="s">
        <v>792</v>
      </c>
      <c r="AB215" s="15" t="s">
        <v>2584</v>
      </c>
      <c r="AC215" s="15" t="s">
        <v>563</v>
      </c>
      <c r="AE215" t="s">
        <v>890</v>
      </c>
      <c r="AF215" t="s">
        <v>2586</v>
      </c>
      <c r="AG215" t="s">
        <v>2567</v>
      </c>
      <c r="AH215" t="s">
        <v>517</v>
      </c>
      <c r="AJ215" s="28" t="s">
        <v>1495</v>
      </c>
      <c r="AK215" s="28" t="s">
        <v>1495</v>
      </c>
      <c r="AL215" s="28" t="s">
        <v>517</v>
      </c>
      <c r="AM215" s="28" t="s">
        <v>605</v>
      </c>
      <c r="AN215" s="28" t="s">
        <v>9</v>
      </c>
      <c r="AO215" s="28"/>
      <c r="AQ215" t="s">
        <v>1542</v>
      </c>
      <c r="AR215" t="s">
        <v>1540</v>
      </c>
      <c r="AS215" t="s">
        <v>2240</v>
      </c>
      <c r="AT215" t="s">
        <v>2241</v>
      </c>
      <c r="AU215">
        <v>2014</v>
      </c>
      <c r="AV215" t="s">
        <v>2242</v>
      </c>
      <c r="AW215">
        <v>1.2190000000000001</v>
      </c>
    </row>
    <row r="216" spans="1:49" x14ac:dyDescent="0.25">
      <c r="A216" s="5" t="s">
        <v>517</v>
      </c>
      <c r="B216" s="5" t="str">
        <f>INDEX(Regions!B:B,MATCH(A216,Regions!A:A,0))</f>
        <v>Sub-Saharan Afr.</v>
      </c>
      <c r="C216" t="s">
        <v>1456</v>
      </c>
      <c r="D216" s="5" t="s">
        <v>1457</v>
      </c>
      <c r="E216" s="5" t="s">
        <v>1458</v>
      </c>
      <c r="F216" s="5">
        <v>706</v>
      </c>
      <c r="G216" s="33">
        <f t="shared" si="15"/>
        <v>1.8400319373699425E-3</v>
      </c>
      <c r="H216" s="5" t="str">
        <f t="shared" si="16"/>
        <v/>
      </c>
      <c r="I216" s="5" t="str">
        <f t="shared" si="17"/>
        <v/>
      </c>
      <c r="J216" s="5" t="e">
        <f t="shared" si="18"/>
        <v>#N/A</v>
      </c>
      <c r="K216" s="5" t="str">
        <f t="shared" si="19"/>
        <v/>
      </c>
      <c r="S216" s="32" t="s">
        <v>2243</v>
      </c>
      <c r="T216" s="32" t="s">
        <v>1642</v>
      </c>
      <c r="U216" s="32" t="s">
        <v>481</v>
      </c>
      <c r="W216" t="s">
        <v>1161</v>
      </c>
      <c r="X216" t="s">
        <v>2548</v>
      </c>
      <c r="Y216" t="s">
        <v>2548</v>
      </c>
      <c r="AA216" s="15" t="s">
        <v>913</v>
      </c>
      <c r="AB216" s="15" t="s">
        <v>2584</v>
      </c>
      <c r="AC216" s="15" t="s">
        <v>563</v>
      </c>
      <c r="AE216" t="s">
        <v>929</v>
      </c>
      <c r="AF216" t="s">
        <v>2586</v>
      </c>
      <c r="AG216" t="s">
        <v>2567</v>
      </c>
      <c r="AH216" t="s">
        <v>517</v>
      </c>
      <c r="AJ216" s="28" t="s">
        <v>2571</v>
      </c>
      <c r="AK216" s="28" t="s">
        <v>2239</v>
      </c>
      <c r="AL216" s="28" t="s">
        <v>503</v>
      </c>
      <c r="AM216" s="28"/>
      <c r="AN216" s="28" t="s">
        <v>9</v>
      </c>
      <c r="AO216" s="28" t="s">
        <v>2572</v>
      </c>
      <c r="AQ216" t="s">
        <v>1547</v>
      </c>
      <c r="AR216" t="s">
        <v>1545</v>
      </c>
      <c r="AS216" t="s">
        <v>2240</v>
      </c>
      <c r="AT216" t="s">
        <v>2241</v>
      </c>
      <c r="AU216">
        <v>2014</v>
      </c>
      <c r="AV216" t="s">
        <v>2242</v>
      </c>
      <c r="AW216">
        <v>101.02800000000001</v>
      </c>
    </row>
    <row r="217" spans="1:49" x14ac:dyDescent="0.25">
      <c r="A217" s="5" t="s">
        <v>517</v>
      </c>
      <c r="B217" s="5" t="str">
        <f>INDEX(Regions!B:B,MATCH(A217,Regions!A:A,0))</f>
        <v>Sub-Saharan Afr.</v>
      </c>
      <c r="C217" t="s">
        <v>1462</v>
      </c>
      <c r="D217" s="5" t="s">
        <v>1463</v>
      </c>
      <c r="E217" s="5" t="s">
        <v>1464</v>
      </c>
      <c r="F217" s="5">
        <v>710</v>
      </c>
      <c r="G217" s="33">
        <f t="shared" si="15"/>
        <v>7.476629480168499E-3</v>
      </c>
      <c r="H217" s="5" t="str">
        <f t="shared" si="16"/>
        <v/>
      </c>
      <c r="I217" s="5" t="str">
        <f t="shared" si="17"/>
        <v/>
      </c>
      <c r="J217" s="5" t="str">
        <f t="shared" si="18"/>
        <v/>
      </c>
      <c r="K217" s="5" t="str">
        <f t="shared" si="19"/>
        <v/>
      </c>
      <c r="S217" s="32" t="s">
        <v>1464</v>
      </c>
      <c r="T217" s="32" t="s">
        <v>1464</v>
      </c>
      <c r="U217" s="32" t="s">
        <v>517</v>
      </c>
      <c r="W217" t="s">
        <v>1175</v>
      </c>
      <c r="X217" t="s">
        <v>2548</v>
      </c>
      <c r="Y217" t="s">
        <v>2548</v>
      </c>
      <c r="AA217" s="15" t="s">
        <v>924</v>
      </c>
      <c r="AB217" s="15" t="s">
        <v>2584</v>
      </c>
      <c r="AC217" s="15" t="s">
        <v>563</v>
      </c>
      <c r="AE217" t="s">
        <v>1409</v>
      </c>
      <c r="AF217" t="s">
        <v>2586</v>
      </c>
      <c r="AG217" t="s">
        <v>2567</v>
      </c>
      <c r="AH217" t="s">
        <v>517</v>
      </c>
      <c r="AJ217" s="28" t="s">
        <v>1429</v>
      </c>
      <c r="AK217" s="28" t="s">
        <v>2276</v>
      </c>
      <c r="AL217" s="28" t="s">
        <v>517</v>
      </c>
      <c r="AM217" s="28"/>
      <c r="AN217" s="28" t="s">
        <v>9</v>
      </c>
      <c r="AO217" s="28"/>
      <c r="AQ217" t="s">
        <v>1553</v>
      </c>
      <c r="AR217" t="s">
        <v>1551</v>
      </c>
      <c r="AS217" t="s">
        <v>2240</v>
      </c>
      <c r="AT217" t="s">
        <v>2241</v>
      </c>
      <c r="AU217">
        <v>2014</v>
      </c>
      <c r="AV217" t="s">
        <v>2242</v>
      </c>
      <c r="AW217">
        <v>1362.345</v>
      </c>
    </row>
    <row r="218" spans="1:49" x14ac:dyDescent="0.25">
      <c r="A218" s="5" t="s">
        <v>517</v>
      </c>
      <c r="B218" s="5" t="str">
        <f>INDEX(Regions!B:B,MATCH(A218,Regions!A:A,0))</f>
        <v>Sub-Saharan Afr.</v>
      </c>
      <c r="C218" t="s">
        <v>1475</v>
      </c>
      <c r="D218" s="5" t="s">
        <v>1476</v>
      </c>
      <c r="E218" s="5" t="s">
        <v>1477</v>
      </c>
      <c r="F218" s="5">
        <v>729</v>
      </c>
      <c r="G218" s="33">
        <f t="shared" si="15"/>
        <v>5.2057767432933839E-3</v>
      </c>
      <c r="H218" s="5" t="str">
        <f t="shared" si="16"/>
        <v/>
      </c>
      <c r="I218" s="5" t="str">
        <f t="shared" si="17"/>
        <v/>
      </c>
      <c r="J218" s="5" t="str">
        <f t="shared" si="18"/>
        <v/>
      </c>
      <c r="K218" s="5" t="str">
        <f t="shared" si="19"/>
        <v/>
      </c>
      <c r="S218" s="32" t="s">
        <v>2246</v>
      </c>
      <c r="T218" s="32" t="s">
        <v>1647</v>
      </c>
      <c r="U218" s="32" t="s">
        <v>517</v>
      </c>
      <c r="W218" t="s">
        <v>2286</v>
      </c>
      <c r="X218" t="s">
        <v>2548</v>
      </c>
      <c r="Y218" t="s">
        <v>2548</v>
      </c>
      <c r="AA218" s="15" t="s">
        <v>2275</v>
      </c>
      <c r="AB218" s="15" t="s">
        <v>2584</v>
      </c>
      <c r="AC218" s="15" t="s">
        <v>563</v>
      </c>
      <c r="AE218" t="s">
        <v>516</v>
      </c>
      <c r="AF218" t="s">
        <v>2588</v>
      </c>
      <c r="AG218" t="s">
        <v>2589</v>
      </c>
      <c r="AH218" t="s">
        <v>517</v>
      </c>
      <c r="AJ218" s="28" t="s">
        <v>1509</v>
      </c>
      <c r="AK218" s="28" t="s">
        <v>1509</v>
      </c>
      <c r="AL218" s="28" t="s">
        <v>500</v>
      </c>
      <c r="AM218" s="28" t="s">
        <v>605</v>
      </c>
      <c r="AN218" s="28" t="s">
        <v>9</v>
      </c>
      <c r="AO218" s="28"/>
      <c r="AQ218" t="s">
        <v>1558</v>
      </c>
      <c r="AR218" t="s">
        <v>1556</v>
      </c>
      <c r="AS218" t="s">
        <v>2240</v>
      </c>
      <c r="AT218" t="s">
        <v>2241</v>
      </c>
      <c r="AU218">
        <v>2014</v>
      </c>
      <c r="AV218" t="s">
        <v>2242</v>
      </c>
      <c r="AW218">
        <v>11063.200999999999</v>
      </c>
    </row>
    <row r="219" spans="1:49" x14ac:dyDescent="0.25">
      <c r="A219" s="30" t="s">
        <v>517</v>
      </c>
      <c r="B219" s="5" t="str">
        <f>INDEX(Regions!B:B,MATCH(A219,Regions!A:A,0))</f>
        <v>Sub-Saharan Afr.</v>
      </c>
      <c r="C219" s="29" t="s">
        <v>1481</v>
      </c>
      <c r="D219" s="30" t="s">
        <v>1482</v>
      </c>
      <c r="E219" s="30" t="s">
        <v>1483</v>
      </c>
      <c r="F219" s="30">
        <v>728</v>
      </c>
      <c r="G219" s="33">
        <f t="shared" si="15"/>
        <v>1.4468073089887322E-3</v>
      </c>
      <c r="H219" s="5" t="str">
        <f t="shared" si="16"/>
        <v>NotAccounted</v>
      </c>
      <c r="I219" s="5" t="e">
        <f t="shared" si="17"/>
        <v>#N/A</v>
      </c>
      <c r="J219" s="5" t="e">
        <f t="shared" si="18"/>
        <v>#N/A</v>
      </c>
      <c r="K219" s="5" t="str">
        <f t="shared" si="19"/>
        <v/>
      </c>
      <c r="S219" s="32" t="s">
        <v>2293</v>
      </c>
      <c r="T219" s="32" t="s">
        <v>1652</v>
      </c>
      <c r="U219" s="32" t="s">
        <v>517</v>
      </c>
      <c r="W219" t="s">
        <v>2414</v>
      </c>
      <c r="X219" t="s">
        <v>2548</v>
      </c>
      <c r="Y219" t="s">
        <v>2548</v>
      </c>
      <c r="AA219" s="15" t="s">
        <v>2269</v>
      </c>
      <c r="AB219" s="15" t="s">
        <v>2584</v>
      </c>
      <c r="AC219" s="15" t="s">
        <v>563</v>
      </c>
      <c r="AE219" t="s">
        <v>844</v>
      </c>
      <c r="AF219" t="s">
        <v>2588</v>
      </c>
      <c r="AG219" t="s">
        <v>2589</v>
      </c>
      <c r="AH219" t="s">
        <v>517</v>
      </c>
      <c r="AJ219" s="28" t="s">
        <v>1574</v>
      </c>
      <c r="AK219" s="28" t="s">
        <v>2239</v>
      </c>
      <c r="AL219" s="28" t="s">
        <v>503</v>
      </c>
      <c r="AM219" s="28"/>
      <c r="AN219" s="28" t="s">
        <v>9</v>
      </c>
      <c r="AO219" s="28"/>
      <c r="AQ219" t="s">
        <v>1563</v>
      </c>
      <c r="AR219" t="s">
        <v>1901</v>
      </c>
      <c r="AS219" t="s">
        <v>2240</v>
      </c>
      <c r="AT219" t="s">
        <v>2241</v>
      </c>
      <c r="AU219">
        <v>2014</v>
      </c>
      <c r="AV219" t="s">
        <v>2242</v>
      </c>
      <c r="AW219">
        <v>77229.255999999994</v>
      </c>
    </row>
    <row r="220" spans="1:49" x14ac:dyDescent="0.25">
      <c r="A220" s="5" t="s">
        <v>517</v>
      </c>
      <c r="B220" s="5" t="str">
        <f>INDEX(Regions!B:B,MATCH(A220,Regions!A:A,0))</f>
        <v>Sub-Saharan Afr.</v>
      </c>
      <c r="C220" t="s">
        <v>1493</v>
      </c>
      <c r="D220" s="5" t="s">
        <v>1494</v>
      </c>
      <c r="E220" s="5" t="s">
        <v>1495</v>
      </c>
      <c r="F220" s="5">
        <v>748</v>
      </c>
      <c r="G220" s="33">
        <f t="shared" si="15"/>
        <v>1.500994319861081E-4</v>
      </c>
      <c r="H220" s="5" t="str">
        <f t="shared" si="16"/>
        <v/>
      </c>
      <c r="I220" s="5" t="str">
        <f t="shared" si="17"/>
        <v/>
      </c>
      <c r="J220" s="5" t="str">
        <f t="shared" si="18"/>
        <v/>
      </c>
      <c r="K220" s="5" t="str">
        <f t="shared" si="19"/>
        <v/>
      </c>
      <c r="S220" t="e">
        <v>#N/A</v>
      </c>
      <c r="T220" t="s">
        <v>2275</v>
      </c>
      <c r="U220" t="e">
        <v>#N/A</v>
      </c>
      <c r="W220" t="s">
        <v>1197</v>
      </c>
      <c r="X220" t="s">
        <v>2548</v>
      </c>
      <c r="Y220" t="s">
        <v>2548</v>
      </c>
      <c r="AA220" s="15" t="s">
        <v>2250</v>
      </c>
      <c r="AB220" s="15" t="s">
        <v>2584</v>
      </c>
      <c r="AC220" s="15" t="s">
        <v>563</v>
      </c>
      <c r="AE220" t="s">
        <v>903</v>
      </c>
      <c r="AF220" t="s">
        <v>2590</v>
      </c>
      <c r="AG220" t="s">
        <v>2591</v>
      </c>
      <c r="AH220" t="s">
        <v>517</v>
      </c>
      <c r="AJ220" s="28" t="s">
        <v>753</v>
      </c>
      <c r="AK220" s="28" t="s">
        <v>753</v>
      </c>
      <c r="AL220" s="28" t="s">
        <v>517</v>
      </c>
      <c r="AM220" s="28" t="s">
        <v>605</v>
      </c>
      <c r="AN220" s="28" t="s">
        <v>9</v>
      </c>
      <c r="AO220" s="28"/>
      <c r="AQ220" t="s">
        <v>1569</v>
      </c>
      <c r="AR220" t="s">
        <v>1567</v>
      </c>
      <c r="AS220" t="s">
        <v>2240</v>
      </c>
      <c r="AT220" t="s">
        <v>2241</v>
      </c>
      <c r="AU220">
        <v>2014</v>
      </c>
      <c r="AV220" t="s">
        <v>2242</v>
      </c>
      <c r="AW220">
        <v>5466.3280000000004</v>
      </c>
    </row>
    <row r="221" spans="1:49" x14ac:dyDescent="0.25">
      <c r="A221" s="5" t="s">
        <v>517</v>
      </c>
      <c r="B221" s="5" t="str">
        <f>INDEX(Regions!B:B,MATCH(A221,Regions!A:A,0))</f>
        <v>Sub-Saharan Afr.</v>
      </c>
      <c r="C221" t="s">
        <v>1533</v>
      </c>
      <c r="D221" s="5" t="s">
        <v>1534</v>
      </c>
      <c r="E221" s="5" t="s">
        <v>1535</v>
      </c>
      <c r="F221" s="5">
        <v>768</v>
      </c>
      <c r="G221" s="33">
        <f t="shared" si="15"/>
        <v>9.7843941111235488E-4</v>
      </c>
      <c r="H221" s="5" t="str">
        <f t="shared" si="16"/>
        <v/>
      </c>
      <c r="I221" s="5" t="str">
        <f t="shared" si="17"/>
        <v/>
      </c>
      <c r="J221" s="5" t="str">
        <f t="shared" si="18"/>
        <v/>
      </c>
      <c r="K221" s="5" t="str">
        <f t="shared" si="19"/>
        <v/>
      </c>
      <c r="S221" t="e">
        <v>#N/A</v>
      </c>
      <c r="T221" t="s">
        <v>2282</v>
      </c>
      <c r="U221" t="e">
        <v>#N/A</v>
      </c>
      <c r="W221" t="s">
        <v>1202</v>
      </c>
      <c r="X221" t="s">
        <v>2548</v>
      </c>
      <c r="Y221" t="s">
        <v>2548</v>
      </c>
      <c r="AA221" s="15" t="s">
        <v>1083</v>
      </c>
      <c r="AB221" s="15" t="s">
        <v>2584</v>
      </c>
      <c r="AC221" s="15" t="s">
        <v>563</v>
      </c>
      <c r="AE221" t="s">
        <v>1146</v>
      </c>
      <c r="AF221" t="s">
        <v>2592</v>
      </c>
      <c r="AG221" t="s">
        <v>2591</v>
      </c>
      <c r="AH221" t="s">
        <v>517</v>
      </c>
      <c r="AJ221" s="28" t="s">
        <v>1535</v>
      </c>
      <c r="AK221" s="28" t="s">
        <v>1535</v>
      </c>
      <c r="AL221" s="28" t="s">
        <v>517</v>
      </c>
      <c r="AM221" s="28" t="s">
        <v>605</v>
      </c>
      <c r="AN221" s="28" t="s">
        <v>9</v>
      </c>
      <c r="AO221" s="28"/>
      <c r="AQ221" t="s">
        <v>1574</v>
      </c>
      <c r="AR221" t="s">
        <v>1572</v>
      </c>
      <c r="AS221" t="s">
        <v>2240</v>
      </c>
      <c r="AT221" t="s">
        <v>2241</v>
      </c>
      <c r="AU221">
        <v>2014</v>
      </c>
      <c r="AV221" t="s">
        <v>2242</v>
      </c>
      <c r="AW221">
        <v>35.369</v>
      </c>
    </row>
    <row r="222" spans="1:49" x14ac:dyDescent="0.25">
      <c r="A222" s="5" t="s">
        <v>517</v>
      </c>
      <c r="B222" s="5" t="str">
        <f>INDEX(Regions!B:B,MATCH(A222,Regions!A:A,0))</f>
        <v>Sub-Saharan Afr.</v>
      </c>
      <c r="C222" t="s">
        <v>1583</v>
      </c>
      <c r="D222" s="5" t="s">
        <v>1584</v>
      </c>
      <c r="E222" s="5" t="s">
        <v>1585</v>
      </c>
      <c r="F222" s="5">
        <v>800</v>
      </c>
      <c r="G222" s="33">
        <f t="shared" si="15"/>
        <v>5.0596369889857303E-3</v>
      </c>
      <c r="H222" s="5" t="str">
        <f t="shared" si="16"/>
        <v/>
      </c>
      <c r="I222" s="5" t="str">
        <f t="shared" si="17"/>
        <v/>
      </c>
      <c r="J222" s="5" t="str">
        <f t="shared" si="18"/>
        <v/>
      </c>
      <c r="K222" s="5" t="str">
        <f t="shared" si="19"/>
        <v/>
      </c>
      <c r="S222" t="e">
        <v>#N/A</v>
      </c>
      <c r="T222" t="s">
        <v>2307</v>
      </c>
      <c r="U222" t="e">
        <v>#N/A</v>
      </c>
      <c r="W222" t="s">
        <v>1217</v>
      </c>
      <c r="X222" t="s">
        <v>2548</v>
      </c>
      <c r="Y222" t="s">
        <v>2548</v>
      </c>
      <c r="AA222" s="15" t="s">
        <v>1175</v>
      </c>
      <c r="AB222" s="15" t="s">
        <v>2584</v>
      </c>
      <c r="AC222" s="15" t="s">
        <v>563</v>
      </c>
      <c r="AE222" t="s">
        <v>1151</v>
      </c>
      <c r="AF222" t="s">
        <v>2593</v>
      </c>
      <c r="AG222" t="s">
        <v>2589</v>
      </c>
      <c r="AH222" t="s">
        <v>517</v>
      </c>
      <c r="AJ222" s="28" t="s">
        <v>1520</v>
      </c>
      <c r="AK222" s="28" t="s">
        <v>1520</v>
      </c>
      <c r="AL222" s="28" t="s">
        <v>557</v>
      </c>
      <c r="AM222" s="28" t="s">
        <v>613</v>
      </c>
      <c r="AN222" s="28" t="s">
        <v>9</v>
      </c>
      <c r="AO222" s="28"/>
      <c r="AQ222" t="s">
        <v>1580</v>
      </c>
      <c r="AR222" t="s">
        <v>1578</v>
      </c>
      <c r="AS222" t="s">
        <v>2240</v>
      </c>
      <c r="AT222" t="s">
        <v>2241</v>
      </c>
      <c r="AU222">
        <v>2014</v>
      </c>
      <c r="AV222" t="s">
        <v>2242</v>
      </c>
      <c r="AW222">
        <v>10.972</v>
      </c>
    </row>
    <row r="223" spans="1:49" x14ac:dyDescent="0.25">
      <c r="A223" s="5" t="s">
        <v>517</v>
      </c>
      <c r="B223" s="5" t="str">
        <f>INDEX(Regions!B:B,MATCH(A223,Regions!A:A,0))</f>
        <v>Sub-Saharan Afr.</v>
      </c>
      <c r="C223" t="s">
        <v>1604</v>
      </c>
      <c r="D223" s="5" t="s">
        <v>1605</v>
      </c>
      <c r="E223" s="5" t="s">
        <v>1606</v>
      </c>
      <c r="F223" s="5">
        <v>834</v>
      </c>
      <c r="G223" s="33">
        <f t="shared" si="15"/>
        <v>6.848330328338874E-3</v>
      </c>
      <c r="H223" s="5" t="str">
        <f t="shared" si="16"/>
        <v/>
      </c>
      <c r="I223" s="5" t="str">
        <f t="shared" si="17"/>
        <v/>
      </c>
      <c r="J223" s="5" t="str">
        <f t="shared" si="18"/>
        <v/>
      </c>
      <c r="K223" s="5" t="str">
        <f t="shared" si="19"/>
        <v/>
      </c>
      <c r="S223" t="e">
        <v>#N/A</v>
      </c>
      <c r="T223" t="s">
        <v>2594</v>
      </c>
      <c r="U223" t="e">
        <v>#N/A</v>
      </c>
      <c r="W223" t="s">
        <v>1242</v>
      </c>
      <c r="X223" t="s">
        <v>2548</v>
      </c>
      <c r="Y223" t="s">
        <v>2548</v>
      </c>
      <c r="AA223" s="15" t="s">
        <v>1197</v>
      </c>
      <c r="AB223" s="15" t="s">
        <v>2584</v>
      </c>
      <c r="AC223" s="15" t="s">
        <v>563</v>
      </c>
      <c r="AE223" t="s">
        <v>1186</v>
      </c>
      <c r="AF223" t="s">
        <v>2595</v>
      </c>
      <c r="AG223" t="s">
        <v>2591</v>
      </c>
      <c r="AH223" t="s">
        <v>517</v>
      </c>
      <c r="AJ223" s="28" t="s">
        <v>1514</v>
      </c>
      <c r="AK223" s="28" t="s">
        <v>1514</v>
      </c>
      <c r="AL223" s="28" t="s">
        <v>511</v>
      </c>
      <c r="AM223" s="28"/>
      <c r="AN223" s="28" t="s">
        <v>9</v>
      </c>
      <c r="AO223" s="28"/>
      <c r="AQ223" t="s">
        <v>1585</v>
      </c>
      <c r="AR223" t="s">
        <v>1583</v>
      </c>
      <c r="AS223" t="s">
        <v>2240</v>
      </c>
      <c r="AT223" t="s">
        <v>2241</v>
      </c>
      <c r="AU223">
        <v>2014</v>
      </c>
      <c r="AV223" t="s">
        <v>2242</v>
      </c>
      <c r="AW223">
        <v>36911.523000000001</v>
      </c>
    </row>
    <row r="224" spans="1:49" x14ac:dyDescent="0.25">
      <c r="A224" s="5" t="s">
        <v>517</v>
      </c>
      <c r="B224" s="5" t="str">
        <f>INDEX(Regions!B:B,MATCH(A224,Regions!A:A,0))</f>
        <v>Sub-Saharan Afr.</v>
      </c>
      <c r="C224" t="s">
        <v>1645</v>
      </c>
      <c r="D224" s="5" t="s">
        <v>1646</v>
      </c>
      <c r="E224" s="5" t="s">
        <v>1647</v>
      </c>
      <c r="F224" s="5">
        <v>894</v>
      </c>
      <c r="G224" s="33">
        <f t="shared" si="15"/>
        <v>2.1109217570713236E-3</v>
      </c>
      <c r="H224" s="5" t="str">
        <f t="shared" si="16"/>
        <v/>
      </c>
      <c r="I224" s="5" t="str">
        <f t="shared" si="17"/>
        <v/>
      </c>
      <c r="J224" s="5" t="str">
        <f t="shared" si="18"/>
        <v/>
      </c>
      <c r="K224" s="5" t="str">
        <f t="shared" si="19"/>
        <v/>
      </c>
      <c r="S224" t="e">
        <v>#N/A</v>
      </c>
      <c r="T224" t="s">
        <v>2247</v>
      </c>
      <c r="U224" t="e">
        <v>#N/A</v>
      </c>
      <c r="W224" t="s">
        <v>1254</v>
      </c>
      <c r="X224" t="s">
        <v>2548</v>
      </c>
      <c r="Y224" t="s">
        <v>2548</v>
      </c>
      <c r="AA224" s="15" t="s">
        <v>1242</v>
      </c>
      <c r="AB224" s="15" t="s">
        <v>2584</v>
      </c>
      <c r="AC224" s="15" t="s">
        <v>563</v>
      </c>
      <c r="AE224" t="s">
        <v>1227</v>
      </c>
      <c r="AF224" t="s">
        <v>2596</v>
      </c>
      <c r="AG224" t="s">
        <v>2589</v>
      </c>
      <c r="AH224" t="s">
        <v>517</v>
      </c>
      <c r="AJ224" s="28" t="s">
        <v>1542</v>
      </c>
      <c r="AK224" s="28" t="s">
        <v>2270</v>
      </c>
      <c r="AL224" s="28" t="s">
        <v>481</v>
      </c>
      <c r="AM224" s="28"/>
      <c r="AN224" s="28" t="s">
        <v>9</v>
      </c>
      <c r="AO224" s="28"/>
      <c r="AQ224" t="s">
        <v>1590</v>
      </c>
      <c r="AR224" t="s">
        <v>1588</v>
      </c>
      <c r="AS224" t="s">
        <v>2240</v>
      </c>
      <c r="AT224" t="s">
        <v>2241</v>
      </c>
      <c r="AU224">
        <v>2014</v>
      </c>
      <c r="AV224" t="s">
        <v>2242</v>
      </c>
      <c r="AW224">
        <v>45111.531999999999</v>
      </c>
    </row>
    <row r="225" spans="1:49" x14ac:dyDescent="0.25">
      <c r="A225" s="5" t="s">
        <v>517</v>
      </c>
      <c r="B225" s="5" t="str">
        <f>INDEX(Regions!B:B,MATCH(A225,Regions!A:A,0))</f>
        <v>Sub-Saharan Afr.</v>
      </c>
      <c r="C225" t="s">
        <v>1650</v>
      </c>
      <c r="D225" s="5" t="s">
        <v>1651</v>
      </c>
      <c r="E225" s="5" t="s">
        <v>1652</v>
      </c>
      <c r="F225" s="5">
        <v>716</v>
      </c>
      <c r="G225" s="33">
        <f t="shared" si="15"/>
        <v>1.8623941714816627E-3</v>
      </c>
      <c r="H225" s="5" t="str">
        <f t="shared" si="16"/>
        <v/>
      </c>
      <c r="I225" s="5" t="str">
        <f t="shared" si="17"/>
        <v/>
      </c>
      <c r="J225" s="5" t="str">
        <f t="shared" si="18"/>
        <v/>
      </c>
      <c r="K225" s="5" t="str">
        <f t="shared" si="19"/>
        <v/>
      </c>
      <c r="S225" t="e">
        <v>#N/A</v>
      </c>
      <c r="T225" t="s">
        <v>2345</v>
      </c>
      <c r="U225" t="e">
        <v>#N/A</v>
      </c>
      <c r="W225" t="s">
        <v>1287</v>
      </c>
      <c r="X225" t="s">
        <v>2548</v>
      </c>
      <c r="Y225" t="s">
        <v>2548</v>
      </c>
      <c r="AA225" s="15" t="s">
        <v>1261</v>
      </c>
      <c r="AB225" s="15" t="s">
        <v>2584</v>
      </c>
      <c r="AC225" s="15" t="s">
        <v>563</v>
      </c>
      <c r="AE225" t="s">
        <v>1606</v>
      </c>
      <c r="AF225" t="s">
        <v>2597</v>
      </c>
      <c r="AG225" t="s">
        <v>2589</v>
      </c>
      <c r="AH225" t="s">
        <v>517</v>
      </c>
      <c r="AJ225" s="28" t="s">
        <v>1569</v>
      </c>
      <c r="AK225" s="28" t="s">
        <v>1569</v>
      </c>
      <c r="AL225" s="28" t="s">
        <v>511</v>
      </c>
      <c r="AM225" s="28"/>
      <c r="AN225" s="28" t="s">
        <v>9</v>
      </c>
      <c r="AO225" s="28"/>
      <c r="AQ225" t="s">
        <v>1596</v>
      </c>
      <c r="AR225" t="s">
        <v>1594</v>
      </c>
      <c r="AS225" t="s">
        <v>2240</v>
      </c>
      <c r="AT225" t="s">
        <v>2241</v>
      </c>
      <c r="AU225">
        <v>2014</v>
      </c>
      <c r="AV225" t="s">
        <v>2242</v>
      </c>
      <c r="AW225">
        <v>9214.1749999999993</v>
      </c>
    </row>
    <row r="226" spans="1:49" x14ac:dyDescent="0.25">
      <c r="A226" s="5" t="s">
        <v>486</v>
      </c>
      <c r="B226" s="5" t="str">
        <f>INDEX(Regions!B:B,MATCH(A226,Regions!A:A,0))</f>
        <v>USA</v>
      </c>
      <c r="C226" t="s">
        <v>1609</v>
      </c>
      <c r="D226" s="5" t="s">
        <v>1610</v>
      </c>
      <c r="E226" s="5" t="s">
        <v>486</v>
      </c>
      <c r="F226" s="5">
        <v>840</v>
      </c>
      <c r="G226" s="33">
        <f t="shared" si="15"/>
        <v>4.3682071251892045E-2</v>
      </c>
      <c r="H226" s="5" t="str">
        <f t="shared" si="16"/>
        <v/>
      </c>
      <c r="I226" s="5" t="str">
        <f t="shared" si="17"/>
        <v/>
      </c>
      <c r="J226" s="5" t="str">
        <f t="shared" si="18"/>
        <v/>
      </c>
      <c r="K226" s="5" t="str">
        <f t="shared" si="19"/>
        <v/>
      </c>
      <c r="S226" t="e">
        <v>#N/A</v>
      </c>
      <c r="T226" t="s">
        <v>2245</v>
      </c>
      <c r="U226" t="e">
        <v>#N/A</v>
      </c>
      <c r="W226" t="s">
        <v>2254</v>
      </c>
      <c r="X226" t="s">
        <v>2548</v>
      </c>
      <c r="Y226" t="s">
        <v>2548</v>
      </c>
      <c r="AA226" s="15" t="s">
        <v>1266</v>
      </c>
      <c r="AB226" s="15" t="s">
        <v>2584</v>
      </c>
      <c r="AC226" s="15" t="s">
        <v>563</v>
      </c>
      <c r="AE226" t="s">
        <v>1585</v>
      </c>
      <c r="AF226" t="s">
        <v>2598</v>
      </c>
      <c r="AG226" t="s">
        <v>2591</v>
      </c>
      <c r="AH226" t="s">
        <v>517</v>
      </c>
      <c r="AJ226" s="28" t="s">
        <v>1530</v>
      </c>
      <c r="AK226" s="28" t="s">
        <v>1530</v>
      </c>
      <c r="AL226" s="28" t="s">
        <v>557</v>
      </c>
      <c r="AM226" s="28" t="s">
        <v>613</v>
      </c>
      <c r="AN226" s="28" t="s">
        <v>9</v>
      </c>
      <c r="AO226" s="28"/>
      <c r="AQ226" t="s">
        <v>840</v>
      </c>
      <c r="AR226" t="s">
        <v>2599</v>
      </c>
      <c r="AS226" t="s">
        <v>2240</v>
      </c>
      <c r="AT226" t="s">
        <v>2241</v>
      </c>
      <c r="AU226">
        <v>2014</v>
      </c>
      <c r="AV226" t="s">
        <v>2242</v>
      </c>
      <c r="AW226">
        <v>65423.046999999999</v>
      </c>
    </row>
    <row r="227" spans="1:49" x14ac:dyDescent="0.25">
      <c r="H227" s="5"/>
      <c r="S227" t="e">
        <v>#N/A</v>
      </c>
      <c r="T227" t="s">
        <v>1197</v>
      </c>
      <c r="U227" t="e">
        <v>#N/A</v>
      </c>
      <c r="W227" t="s">
        <v>2279</v>
      </c>
      <c r="X227" t="s">
        <v>2548</v>
      </c>
      <c r="Y227" t="s">
        <v>2548</v>
      </c>
      <c r="AA227" s="15" t="s">
        <v>1287</v>
      </c>
      <c r="AB227" s="15" t="s">
        <v>2584</v>
      </c>
      <c r="AC227" s="15" t="s">
        <v>563</v>
      </c>
      <c r="AE227" t="s">
        <v>1647</v>
      </c>
      <c r="AF227" t="s">
        <v>2600</v>
      </c>
      <c r="AG227" t="s">
        <v>2589</v>
      </c>
      <c r="AH227" t="s">
        <v>517</v>
      </c>
      <c r="AJ227" s="28" t="s">
        <v>1547</v>
      </c>
      <c r="AK227" s="28" t="s">
        <v>2270</v>
      </c>
      <c r="AL227" s="28" t="s">
        <v>481</v>
      </c>
      <c r="AM227" s="28"/>
      <c r="AN227" s="28" t="s">
        <v>9</v>
      </c>
      <c r="AO227" s="28"/>
      <c r="AQ227" t="s">
        <v>1606</v>
      </c>
      <c r="AR227" t="s">
        <v>2601</v>
      </c>
      <c r="AS227" t="s">
        <v>2240</v>
      </c>
      <c r="AT227" t="s">
        <v>2241</v>
      </c>
      <c r="AU227">
        <v>2014</v>
      </c>
      <c r="AV227" t="s">
        <v>2242</v>
      </c>
      <c r="AW227">
        <v>49960.561000000002</v>
      </c>
    </row>
    <row r="228" spans="1:49" x14ac:dyDescent="0.25">
      <c r="H228" s="5"/>
      <c r="S228" t="e">
        <v>#N/A</v>
      </c>
      <c r="T228" t="s">
        <v>1701</v>
      </c>
      <c r="U228" t="e">
        <v>#N/A</v>
      </c>
      <c r="W228" t="s">
        <v>1305</v>
      </c>
      <c r="X228" t="s">
        <v>2548</v>
      </c>
      <c r="Y228" t="s">
        <v>2548</v>
      </c>
      <c r="AA228" s="15" t="s">
        <v>2254</v>
      </c>
      <c r="AB228" s="15" t="s">
        <v>2584</v>
      </c>
      <c r="AC228" s="15" t="s">
        <v>563</v>
      </c>
      <c r="AE228" t="s">
        <v>1652</v>
      </c>
      <c r="AF228" t="s">
        <v>2602</v>
      </c>
      <c r="AG228" t="s">
        <v>2589</v>
      </c>
      <c r="AH228" t="s">
        <v>517</v>
      </c>
      <c r="AJ228" s="28" t="s">
        <v>1553</v>
      </c>
      <c r="AK228" s="28" t="s">
        <v>2239</v>
      </c>
      <c r="AL228" s="28" t="s">
        <v>503</v>
      </c>
      <c r="AM228" s="28"/>
      <c r="AN228" s="28" t="s">
        <v>9</v>
      </c>
      <c r="AO228" s="28"/>
      <c r="AQ228" t="s">
        <v>486</v>
      </c>
      <c r="AR228" t="s">
        <v>487</v>
      </c>
      <c r="AS228" t="s">
        <v>2240</v>
      </c>
      <c r="AT228" t="s">
        <v>2241</v>
      </c>
      <c r="AU228">
        <v>2014</v>
      </c>
      <c r="AV228" t="s">
        <v>2242</v>
      </c>
      <c r="AW228">
        <v>318673.41100000002</v>
      </c>
    </row>
    <row r="229" spans="1:49" x14ac:dyDescent="0.25">
      <c r="H229" s="5"/>
      <c r="S229" t="e">
        <v>#N/A</v>
      </c>
      <c r="T229" t="s">
        <v>1010</v>
      </c>
      <c r="U229" t="e">
        <v>#N/A</v>
      </c>
      <c r="W229" t="s">
        <v>2281</v>
      </c>
      <c r="X229" t="s">
        <v>2548</v>
      </c>
      <c r="Y229" t="s">
        <v>2548</v>
      </c>
      <c r="AA229" s="15" t="s">
        <v>2279</v>
      </c>
      <c r="AB229" s="15" t="s">
        <v>2584</v>
      </c>
      <c r="AC229" s="15" t="s">
        <v>563</v>
      </c>
      <c r="AE229" t="s">
        <v>705</v>
      </c>
      <c r="AF229" t="s">
        <v>2603</v>
      </c>
      <c r="AG229" t="s">
        <v>2591</v>
      </c>
      <c r="AH229" t="s">
        <v>517</v>
      </c>
      <c r="AJ229" s="28" t="s">
        <v>1558</v>
      </c>
      <c r="AK229" s="28" t="s">
        <v>1558</v>
      </c>
      <c r="AL229" s="28" t="s">
        <v>500</v>
      </c>
      <c r="AM229" s="28" t="s">
        <v>605</v>
      </c>
      <c r="AN229" s="28" t="s">
        <v>9</v>
      </c>
      <c r="AO229" s="28"/>
      <c r="AQ229" t="s">
        <v>1706</v>
      </c>
      <c r="AR229" t="s">
        <v>2604</v>
      </c>
      <c r="AS229" t="s">
        <v>2240</v>
      </c>
      <c r="AT229" t="s">
        <v>2241</v>
      </c>
      <c r="AU229">
        <v>2014</v>
      </c>
      <c r="AV229" t="s">
        <v>2242</v>
      </c>
      <c r="AW229">
        <v>105.114</v>
      </c>
    </row>
    <row r="230" spans="1:49" x14ac:dyDescent="0.25">
      <c r="H230" s="5"/>
      <c r="S230" t="e">
        <v>#N/A</v>
      </c>
      <c r="T230" t="s">
        <v>2250</v>
      </c>
      <c r="U230" t="e">
        <v>#N/A</v>
      </c>
      <c r="W230" t="s">
        <v>2291</v>
      </c>
      <c r="X230" t="s">
        <v>2548</v>
      </c>
      <c r="Y230" t="s">
        <v>2548</v>
      </c>
      <c r="AA230" s="15" t="s">
        <v>1305</v>
      </c>
      <c r="AB230" s="15" t="s">
        <v>2584</v>
      </c>
      <c r="AC230" s="15" t="s">
        <v>563</v>
      </c>
      <c r="AE230" t="s">
        <v>779</v>
      </c>
      <c r="AF230" t="s">
        <v>2603</v>
      </c>
      <c r="AG230" t="s">
        <v>2591</v>
      </c>
      <c r="AH230" t="s">
        <v>517</v>
      </c>
      <c r="AJ230" s="28" t="s">
        <v>1563</v>
      </c>
      <c r="AK230" s="28" t="s">
        <v>1563</v>
      </c>
      <c r="AL230" s="28" t="s">
        <v>500</v>
      </c>
      <c r="AM230" s="28" t="s">
        <v>605</v>
      </c>
      <c r="AN230" s="28" t="s">
        <v>9</v>
      </c>
      <c r="AO230" s="28"/>
      <c r="AQ230" t="s">
        <v>1615</v>
      </c>
      <c r="AR230" t="s">
        <v>1613</v>
      </c>
      <c r="AS230" t="s">
        <v>2240</v>
      </c>
      <c r="AT230" t="s">
        <v>2241</v>
      </c>
      <c r="AU230">
        <v>2014</v>
      </c>
      <c r="AV230" t="s">
        <v>2242</v>
      </c>
      <c r="AW230">
        <v>3400.4360000000001</v>
      </c>
    </row>
    <row r="231" spans="1:49" x14ac:dyDescent="0.25">
      <c r="H231" s="5"/>
      <c r="S231" t="e">
        <v>#N/A</v>
      </c>
      <c r="T231" t="s">
        <v>1690</v>
      </c>
      <c r="U231" t="e">
        <v>#N/A</v>
      </c>
      <c r="W231" t="s">
        <v>2392</v>
      </c>
      <c r="X231" t="s">
        <v>2548</v>
      </c>
      <c r="Y231" t="s">
        <v>2548</v>
      </c>
      <c r="AA231" s="15" t="s">
        <v>2281</v>
      </c>
      <c r="AB231" s="15" t="s">
        <v>2584</v>
      </c>
      <c r="AC231" s="15" t="s">
        <v>563</v>
      </c>
      <c r="AE231" t="s">
        <v>857</v>
      </c>
      <c r="AF231" t="s">
        <v>2603</v>
      </c>
      <c r="AG231" t="s">
        <v>2591</v>
      </c>
      <c r="AH231" t="s">
        <v>517</v>
      </c>
      <c r="AJ231" s="28" t="s">
        <v>1580</v>
      </c>
      <c r="AK231" s="28" t="s">
        <v>2270</v>
      </c>
      <c r="AL231" s="28" t="s">
        <v>481</v>
      </c>
      <c r="AM231" s="28"/>
      <c r="AN231" s="28" t="s">
        <v>9</v>
      </c>
      <c r="AO231" s="28"/>
      <c r="AQ231" t="s">
        <v>1621</v>
      </c>
      <c r="AR231" t="s">
        <v>1619</v>
      </c>
      <c r="AS231" t="s">
        <v>2240</v>
      </c>
      <c r="AT231" t="s">
        <v>2241</v>
      </c>
      <c r="AU231">
        <v>2014</v>
      </c>
      <c r="AV231" t="s">
        <v>2242</v>
      </c>
      <c r="AW231">
        <v>30426.387999999999</v>
      </c>
    </row>
    <row r="232" spans="1:49" x14ac:dyDescent="0.25">
      <c r="H232" s="5"/>
      <c r="S232" t="e">
        <v>#N/A</v>
      </c>
      <c r="T232" t="s">
        <v>2434</v>
      </c>
      <c r="U232" t="e">
        <v>#N/A</v>
      </c>
      <c r="W232" t="s">
        <v>1381</v>
      </c>
      <c r="X232" t="s">
        <v>2548</v>
      </c>
      <c r="Y232" t="s">
        <v>2548</v>
      </c>
      <c r="AA232" s="15" t="s">
        <v>1399</v>
      </c>
      <c r="AB232" s="15" t="s">
        <v>2584</v>
      </c>
      <c r="AC232" s="15" t="s">
        <v>563</v>
      </c>
      <c r="AE232" t="s">
        <v>895</v>
      </c>
      <c r="AF232" t="s">
        <v>2603</v>
      </c>
      <c r="AG232" t="s">
        <v>2591</v>
      </c>
      <c r="AH232" t="s">
        <v>517</v>
      </c>
      <c r="AJ232" s="28" t="s">
        <v>1669</v>
      </c>
      <c r="AK232" s="28" t="s">
        <v>2323</v>
      </c>
      <c r="AL232" s="28" t="s">
        <v>542</v>
      </c>
      <c r="AM232" s="28" t="s">
        <v>613</v>
      </c>
      <c r="AN232" s="28" t="s">
        <v>9</v>
      </c>
      <c r="AO232" s="28" t="s">
        <v>2533</v>
      </c>
      <c r="AQ232" t="s">
        <v>1626</v>
      </c>
      <c r="AR232" t="s">
        <v>1624</v>
      </c>
      <c r="AS232" t="s">
        <v>2240</v>
      </c>
      <c r="AT232" t="s">
        <v>2241</v>
      </c>
      <c r="AU232">
        <v>2014</v>
      </c>
      <c r="AV232" t="s">
        <v>2242</v>
      </c>
      <c r="AW232">
        <v>263.88799999999998</v>
      </c>
    </row>
    <row r="233" spans="1:49" x14ac:dyDescent="0.25">
      <c r="H233" s="5"/>
      <c r="S233" t="e">
        <v>#N/A</v>
      </c>
      <c r="T233" t="s">
        <v>1695</v>
      </c>
      <c r="U233" t="e">
        <v>#N/A</v>
      </c>
      <c r="W233" t="s">
        <v>1388</v>
      </c>
      <c r="X233" t="s">
        <v>2548</v>
      </c>
      <c r="Y233" t="s">
        <v>2548</v>
      </c>
      <c r="AA233" s="15" t="s">
        <v>1453</v>
      </c>
      <c r="AB233" s="15" t="s">
        <v>2584</v>
      </c>
      <c r="AC233" s="15" t="s">
        <v>563</v>
      </c>
      <c r="AE233" t="s">
        <v>1077</v>
      </c>
      <c r="AF233" t="s">
        <v>2605</v>
      </c>
      <c r="AG233" t="s">
        <v>2591</v>
      </c>
      <c r="AH233" t="s">
        <v>517</v>
      </c>
      <c r="AJ233" s="28" t="s">
        <v>1606</v>
      </c>
      <c r="AK233" s="28" t="s">
        <v>1606</v>
      </c>
      <c r="AL233" s="28" t="s">
        <v>517</v>
      </c>
      <c r="AM233" s="28" t="s">
        <v>605</v>
      </c>
      <c r="AN233" s="28" t="s">
        <v>9</v>
      </c>
      <c r="AO233" s="28"/>
      <c r="AQ233" t="s">
        <v>1632</v>
      </c>
      <c r="AR233" t="s">
        <v>2606</v>
      </c>
      <c r="AS233" t="s">
        <v>2240</v>
      </c>
      <c r="AT233" t="s">
        <v>2241</v>
      </c>
      <c r="AU233">
        <v>2014</v>
      </c>
      <c r="AV233" t="s">
        <v>2242</v>
      </c>
      <c r="AW233">
        <v>30042.968000000001</v>
      </c>
    </row>
    <row r="234" spans="1:49" x14ac:dyDescent="0.25">
      <c r="H234" s="5"/>
      <c r="S234" t="e">
        <v>#N/A</v>
      </c>
      <c r="T234" t="s">
        <v>2483</v>
      </c>
      <c r="U234" t="e">
        <v>#N/A</v>
      </c>
      <c r="W234" t="s">
        <v>2483</v>
      </c>
      <c r="X234" t="s">
        <v>2548</v>
      </c>
      <c r="Y234" t="s">
        <v>2548</v>
      </c>
      <c r="AA234" s="15" t="s">
        <v>1542</v>
      </c>
      <c r="AB234" s="15" t="s">
        <v>2584</v>
      </c>
      <c r="AC234" s="15" t="s">
        <v>563</v>
      </c>
      <c r="AE234" t="s">
        <v>2414</v>
      </c>
      <c r="AF234" t="s">
        <v>2603</v>
      </c>
      <c r="AG234" t="s">
        <v>2591</v>
      </c>
      <c r="AH234" t="s">
        <v>517</v>
      </c>
      <c r="AJ234" s="28" t="s">
        <v>1585</v>
      </c>
      <c r="AK234" s="28" t="s">
        <v>1585</v>
      </c>
      <c r="AL234" s="28" t="s">
        <v>517</v>
      </c>
      <c r="AM234" s="28" t="s">
        <v>605</v>
      </c>
      <c r="AN234" s="28" t="s">
        <v>9</v>
      </c>
      <c r="AO234" s="28"/>
      <c r="AQ234" t="s">
        <v>1637</v>
      </c>
      <c r="AR234" t="s">
        <v>2607</v>
      </c>
      <c r="AS234" t="s">
        <v>2240</v>
      </c>
      <c r="AT234" t="s">
        <v>2241</v>
      </c>
      <c r="AU234">
        <v>2014</v>
      </c>
      <c r="AV234" t="s">
        <v>2242</v>
      </c>
      <c r="AW234">
        <v>91713.847999999998</v>
      </c>
    </row>
    <row r="235" spans="1:49" x14ac:dyDescent="0.25">
      <c r="H235" s="5"/>
      <c r="S235" t="e">
        <v>#N/A</v>
      </c>
      <c r="T235" t="s">
        <v>2335</v>
      </c>
      <c r="U235" t="e">
        <v>#N/A</v>
      </c>
      <c r="W235" t="s">
        <v>2244</v>
      </c>
      <c r="X235" t="s">
        <v>2548</v>
      </c>
      <c r="Y235" t="s">
        <v>2548</v>
      </c>
      <c r="AA235" s="15" t="s">
        <v>1547</v>
      </c>
      <c r="AB235" s="15" t="s">
        <v>2584</v>
      </c>
      <c r="AC235" s="15" t="s">
        <v>563</v>
      </c>
      <c r="AE235" t="s">
        <v>1377</v>
      </c>
      <c r="AF235" t="s">
        <v>2608</v>
      </c>
      <c r="AG235" t="s">
        <v>2591</v>
      </c>
      <c r="AH235" t="s">
        <v>517</v>
      </c>
      <c r="AJ235" s="28" t="s">
        <v>1590</v>
      </c>
      <c r="AK235" s="28" t="s">
        <v>1590</v>
      </c>
      <c r="AL235" s="28" t="s">
        <v>511</v>
      </c>
      <c r="AM235" s="28"/>
      <c r="AN235" s="28" t="s">
        <v>9</v>
      </c>
      <c r="AO235" s="28"/>
      <c r="AQ235" t="s">
        <v>2290</v>
      </c>
      <c r="AR235" t="s">
        <v>2609</v>
      </c>
      <c r="AS235" t="s">
        <v>2240</v>
      </c>
      <c r="AT235" t="s">
        <v>2241</v>
      </c>
      <c r="AU235">
        <v>2014</v>
      </c>
      <c r="AV235" t="s">
        <v>2242</v>
      </c>
      <c r="AW235">
        <v>12.34</v>
      </c>
    </row>
    <row r="236" spans="1:49" x14ac:dyDescent="0.25">
      <c r="H236" s="5"/>
      <c r="S236" t="e">
        <v>#N/A</v>
      </c>
      <c r="T236" t="s">
        <v>1679</v>
      </c>
      <c r="U236" t="e">
        <v>#N/A</v>
      </c>
      <c r="W236" t="s">
        <v>1393</v>
      </c>
      <c r="X236" t="s">
        <v>2548</v>
      </c>
      <c r="Y236" t="s">
        <v>2548</v>
      </c>
      <c r="AA236" s="15" t="s">
        <v>1580</v>
      </c>
      <c r="AB236" s="15" t="s">
        <v>2584</v>
      </c>
      <c r="AC236" s="15" t="s">
        <v>563</v>
      </c>
      <c r="AE236" t="s">
        <v>1429</v>
      </c>
      <c r="AF236" t="s">
        <v>2603</v>
      </c>
      <c r="AG236" t="s">
        <v>2591</v>
      </c>
      <c r="AH236" t="s">
        <v>517</v>
      </c>
      <c r="AJ236" s="28" t="s">
        <v>2249</v>
      </c>
      <c r="AK236" s="28" t="s">
        <v>2270</v>
      </c>
      <c r="AL236" s="28" t="s">
        <v>481</v>
      </c>
      <c r="AM236" s="28"/>
      <c r="AN236" s="28" t="s">
        <v>9</v>
      </c>
      <c r="AO236" s="28" t="s">
        <v>2610</v>
      </c>
      <c r="AQ236" t="s">
        <v>1662</v>
      </c>
      <c r="AR236" t="s">
        <v>1660</v>
      </c>
      <c r="AS236" t="s">
        <v>2240</v>
      </c>
      <c r="AT236" t="s">
        <v>2241</v>
      </c>
      <c r="AU236">
        <v>2014</v>
      </c>
      <c r="AV236" t="s">
        <v>2242</v>
      </c>
      <c r="AW236">
        <v>514.995</v>
      </c>
    </row>
    <row r="237" spans="1:49" x14ac:dyDescent="0.25">
      <c r="A237" s="5"/>
      <c r="B237" s="5"/>
      <c r="D237" s="5"/>
      <c r="E237" s="5"/>
      <c r="F237" s="5"/>
      <c r="G237" s="5"/>
      <c r="H237" s="5"/>
      <c r="S237" t="e">
        <v>#N/A</v>
      </c>
      <c r="T237" t="s">
        <v>1483</v>
      </c>
      <c r="U237" t="e">
        <v>#N/A</v>
      </c>
      <c r="W237" t="s">
        <v>1404</v>
      </c>
      <c r="X237" t="s">
        <v>2548</v>
      </c>
      <c r="Y237" t="s">
        <v>2548</v>
      </c>
      <c r="AA237" s="15" t="s">
        <v>1626</v>
      </c>
      <c r="AB237" s="15" t="s">
        <v>2584</v>
      </c>
      <c r="AC237" s="15" t="s">
        <v>563</v>
      </c>
      <c r="AE237" t="s">
        <v>1458</v>
      </c>
      <c r="AF237" t="s">
        <v>2603</v>
      </c>
      <c r="AG237" t="s">
        <v>2591</v>
      </c>
      <c r="AH237" t="s">
        <v>517</v>
      </c>
      <c r="AJ237" s="28" t="s">
        <v>1615</v>
      </c>
      <c r="AK237" s="28" t="s">
        <v>1615</v>
      </c>
      <c r="AL237" s="28" t="s">
        <v>503</v>
      </c>
      <c r="AM237" s="28" t="s">
        <v>595</v>
      </c>
      <c r="AN237" s="28" t="s">
        <v>9</v>
      </c>
      <c r="AO237" s="28"/>
      <c r="AQ237" t="s">
        <v>1642</v>
      </c>
      <c r="AR237" t="s">
        <v>1640</v>
      </c>
      <c r="AS237" t="s">
        <v>2240</v>
      </c>
      <c r="AT237" t="s">
        <v>2241</v>
      </c>
      <c r="AU237">
        <v>2014</v>
      </c>
      <c r="AV237" t="s">
        <v>2242</v>
      </c>
      <c r="AW237">
        <v>25823.485000000001</v>
      </c>
    </row>
    <row r="238" spans="1:49" x14ac:dyDescent="0.25">
      <c r="H238" s="5"/>
      <c r="S238" t="e">
        <v>#N/A</v>
      </c>
      <c r="T238" t="s">
        <v>2249</v>
      </c>
      <c r="U238" t="e">
        <v>#N/A</v>
      </c>
      <c r="W238" t="s">
        <v>1409</v>
      </c>
      <c r="X238" t="s">
        <v>2548</v>
      </c>
      <c r="Y238" t="s">
        <v>2548</v>
      </c>
      <c r="AA238" s="15" t="s">
        <v>2290</v>
      </c>
      <c r="AB238" s="15" t="s">
        <v>2584</v>
      </c>
      <c r="AC238" s="15" t="s">
        <v>563</v>
      </c>
      <c r="AE238" t="s">
        <v>1477</v>
      </c>
      <c r="AF238" t="s">
        <v>2603</v>
      </c>
      <c r="AG238" t="s">
        <v>2591</v>
      </c>
      <c r="AH238" t="s">
        <v>517</v>
      </c>
      <c r="AJ238" s="28" t="s">
        <v>486</v>
      </c>
      <c r="AK238" s="28" t="s">
        <v>486</v>
      </c>
      <c r="AL238" s="28" t="s">
        <v>486</v>
      </c>
      <c r="AM238" s="28" t="s">
        <v>586</v>
      </c>
      <c r="AN238" s="28" t="s">
        <v>9</v>
      </c>
      <c r="AO238" s="28"/>
      <c r="AQ238" t="s">
        <v>1647</v>
      </c>
      <c r="AR238" t="s">
        <v>1645</v>
      </c>
      <c r="AS238" t="s">
        <v>2240</v>
      </c>
      <c r="AT238" t="s">
        <v>2241</v>
      </c>
      <c r="AU238">
        <v>2014</v>
      </c>
      <c r="AV238" t="s">
        <v>2242</v>
      </c>
      <c r="AW238">
        <v>15399.788</v>
      </c>
    </row>
    <row r="239" spans="1:49" x14ac:dyDescent="0.25">
      <c r="S239" t="e">
        <v>#N/A</v>
      </c>
      <c r="T239" t="s">
        <v>1706</v>
      </c>
      <c r="U239" t="e">
        <v>#N/A</v>
      </c>
      <c r="W239" t="s">
        <v>1429</v>
      </c>
      <c r="X239" t="s">
        <v>2548</v>
      </c>
      <c r="Y239" t="s">
        <v>2548</v>
      </c>
      <c r="AE239" t="s">
        <v>664</v>
      </c>
      <c r="AF239" t="s">
        <v>2611</v>
      </c>
      <c r="AG239" t="s">
        <v>2589</v>
      </c>
      <c r="AH239" t="s">
        <v>517</v>
      </c>
      <c r="AJ239" s="28" t="s">
        <v>1621</v>
      </c>
      <c r="AK239" s="28" t="s">
        <v>1621</v>
      </c>
      <c r="AL239" s="28" t="s">
        <v>511</v>
      </c>
      <c r="AM239" s="28"/>
      <c r="AN239" s="28" t="s">
        <v>9</v>
      </c>
      <c r="AO239" s="28"/>
      <c r="AQ239" t="s">
        <v>1652</v>
      </c>
      <c r="AR239" t="s">
        <v>1650</v>
      </c>
      <c r="AS239" t="s">
        <v>2240</v>
      </c>
      <c r="AT239" t="s">
        <v>2241</v>
      </c>
      <c r="AU239">
        <v>2014</v>
      </c>
      <c r="AV239" t="s">
        <v>2242</v>
      </c>
      <c r="AW239">
        <v>13586.707</v>
      </c>
    </row>
    <row r="240" spans="1:49" x14ac:dyDescent="0.25">
      <c r="S240" t="e">
        <v>#N/A</v>
      </c>
      <c r="T240" t="s">
        <v>2290</v>
      </c>
      <c r="U240" t="e">
        <v>#N/A</v>
      </c>
      <c r="W240" t="s">
        <v>2571</v>
      </c>
      <c r="X240" t="s">
        <v>2548</v>
      </c>
      <c r="Y240" t="s">
        <v>2548</v>
      </c>
      <c r="AE240" t="s">
        <v>1464</v>
      </c>
      <c r="AF240" t="s">
        <v>2612</v>
      </c>
      <c r="AG240" t="s">
        <v>1464</v>
      </c>
      <c r="AH240" t="s">
        <v>517</v>
      </c>
      <c r="AJ240" s="28" t="s">
        <v>1000</v>
      </c>
      <c r="AK240" s="28" t="s">
        <v>2443</v>
      </c>
      <c r="AL240" s="28" t="s">
        <v>491</v>
      </c>
      <c r="AM240" s="28"/>
      <c r="AN240" s="28" t="s">
        <v>9</v>
      </c>
      <c r="AO240" s="28"/>
      <c r="AQ240" t="s">
        <v>2613</v>
      </c>
      <c r="AR240" t="s">
        <v>627</v>
      </c>
      <c r="AS240" t="s">
        <v>2240</v>
      </c>
      <c r="AT240" t="s">
        <v>2241</v>
      </c>
      <c r="AU240">
        <v>2014</v>
      </c>
      <c r="AV240" t="s">
        <v>2242</v>
      </c>
      <c r="AW240">
        <v>7295290.7649999997</v>
      </c>
    </row>
    <row r="241" spans="23:49" x14ac:dyDescent="0.25">
      <c r="W241" t="s">
        <v>2335</v>
      </c>
      <c r="X241" t="s">
        <v>2548</v>
      </c>
      <c r="Y241" t="s">
        <v>2548</v>
      </c>
      <c r="AE241" t="s">
        <v>1111</v>
      </c>
      <c r="AF241" t="s">
        <v>2614</v>
      </c>
      <c r="AG241" t="s">
        <v>2589</v>
      </c>
      <c r="AH241" t="s">
        <v>517</v>
      </c>
      <c r="AJ241" s="28" t="s">
        <v>1393</v>
      </c>
      <c r="AK241" s="28" t="s">
        <v>2239</v>
      </c>
      <c r="AL241" s="28" t="s">
        <v>503</v>
      </c>
      <c r="AM241" s="28"/>
      <c r="AN241" s="28" t="s">
        <v>9</v>
      </c>
      <c r="AO241" s="28"/>
      <c r="AQ241" t="s">
        <v>2615</v>
      </c>
      <c r="AR241" t="s">
        <v>2616</v>
      </c>
      <c r="AS241" t="s">
        <v>2240</v>
      </c>
      <c r="AT241" t="s">
        <v>2241</v>
      </c>
      <c r="AU241">
        <v>2014</v>
      </c>
      <c r="AV241" t="s">
        <v>2242</v>
      </c>
      <c r="AW241">
        <v>1152433.6270000001</v>
      </c>
    </row>
    <row r="242" spans="23:49" x14ac:dyDescent="0.25">
      <c r="W242" t="s">
        <v>1483</v>
      </c>
      <c r="X242" t="s">
        <v>2548</v>
      </c>
      <c r="Y242" t="s">
        <v>2548</v>
      </c>
      <c r="AE242" t="s">
        <v>586</v>
      </c>
      <c r="AF242" t="s">
        <v>2617</v>
      </c>
      <c r="AG242" t="s">
        <v>2589</v>
      </c>
      <c r="AH242" t="s">
        <v>517</v>
      </c>
      <c r="AJ242" s="28" t="s">
        <v>1632</v>
      </c>
      <c r="AK242" s="28" t="s">
        <v>1632</v>
      </c>
      <c r="AL242" s="28" t="s">
        <v>503</v>
      </c>
      <c r="AM242" s="28" t="s">
        <v>595</v>
      </c>
      <c r="AN242" s="28" t="s">
        <v>9</v>
      </c>
      <c r="AO242" s="28"/>
      <c r="AQ242" t="s">
        <v>2618</v>
      </c>
      <c r="AR242" t="s">
        <v>2406</v>
      </c>
      <c r="AS242" t="s">
        <v>2240</v>
      </c>
      <c r="AT242" t="s">
        <v>2241</v>
      </c>
      <c r="AU242">
        <v>2014</v>
      </c>
      <c r="AV242" t="s">
        <v>2242</v>
      </c>
      <c r="AW242">
        <v>379136.62599999999</v>
      </c>
    </row>
    <row r="243" spans="23:49" x14ac:dyDescent="0.25">
      <c r="W243" t="s">
        <v>1679</v>
      </c>
      <c r="X243" t="s">
        <v>2548</v>
      </c>
      <c r="Y243" t="s">
        <v>2548</v>
      </c>
      <c r="AE243" t="s">
        <v>1495</v>
      </c>
      <c r="AF243" t="s">
        <v>2614</v>
      </c>
      <c r="AG243" t="s">
        <v>2589</v>
      </c>
      <c r="AH243" t="s">
        <v>517</v>
      </c>
      <c r="AJ243" s="28" t="s">
        <v>677</v>
      </c>
      <c r="AK243" s="28" t="s">
        <v>2239</v>
      </c>
      <c r="AL243" s="28" t="s">
        <v>503</v>
      </c>
      <c r="AM243" s="28"/>
      <c r="AN243" s="28" t="s">
        <v>9</v>
      </c>
      <c r="AO243" s="28"/>
      <c r="AQ243" t="s">
        <v>2619</v>
      </c>
      <c r="AR243" t="s">
        <v>2620</v>
      </c>
      <c r="AS243" t="s">
        <v>2240</v>
      </c>
      <c r="AT243" t="s">
        <v>2241</v>
      </c>
      <c r="AU243">
        <v>2014</v>
      </c>
      <c r="AV243" t="s">
        <v>2242</v>
      </c>
      <c r="AW243">
        <v>149457.59899999999</v>
      </c>
    </row>
    <row r="244" spans="23:49" x14ac:dyDescent="0.25">
      <c r="W244" t="s">
        <v>1669</v>
      </c>
      <c r="X244" t="s">
        <v>2548</v>
      </c>
      <c r="Y244" t="s">
        <v>2548</v>
      </c>
      <c r="AE244" t="s">
        <v>2271</v>
      </c>
      <c r="AF244" t="s">
        <v>2481</v>
      </c>
      <c r="AG244" t="s">
        <v>2238</v>
      </c>
      <c r="AH244" t="s">
        <v>563</v>
      </c>
      <c r="AJ244" s="28" t="s">
        <v>1706</v>
      </c>
      <c r="AK244" s="28" t="s">
        <v>2239</v>
      </c>
      <c r="AL244" s="28" t="s">
        <v>503</v>
      </c>
      <c r="AM244" s="28"/>
      <c r="AN244" s="28" t="s">
        <v>9</v>
      </c>
      <c r="AO244" s="28"/>
      <c r="AQ244" t="s">
        <v>2621</v>
      </c>
      <c r="AR244" t="s">
        <v>2343</v>
      </c>
      <c r="AS244" t="s">
        <v>2240</v>
      </c>
      <c r="AT244" t="s">
        <v>2241</v>
      </c>
      <c r="AU244">
        <v>2014</v>
      </c>
      <c r="AV244" t="s">
        <v>2242</v>
      </c>
      <c r="AW244">
        <v>219458.59299999999</v>
      </c>
    </row>
    <row r="245" spans="23:49" x14ac:dyDescent="0.25">
      <c r="W245" t="s">
        <v>1542</v>
      </c>
      <c r="X245" t="s">
        <v>2548</v>
      </c>
      <c r="Y245" t="s">
        <v>2548</v>
      </c>
      <c r="AE245" t="s">
        <v>2434</v>
      </c>
      <c r="AF245" t="s">
        <v>2481</v>
      </c>
      <c r="AG245" t="s">
        <v>2238</v>
      </c>
      <c r="AH245" t="s">
        <v>563</v>
      </c>
      <c r="AJ245" s="28" t="s">
        <v>1637</v>
      </c>
      <c r="AK245" s="28" t="s">
        <v>1637</v>
      </c>
      <c r="AL245" s="28" t="s">
        <v>557</v>
      </c>
      <c r="AM245" s="28" t="s">
        <v>613</v>
      </c>
      <c r="AN245" s="28" t="s">
        <v>9</v>
      </c>
      <c r="AO245" s="28"/>
      <c r="AQ245" t="s">
        <v>2622</v>
      </c>
      <c r="AR245" t="s">
        <v>2623</v>
      </c>
      <c r="AS245" t="s">
        <v>2240</v>
      </c>
      <c r="AT245" t="s">
        <v>2241</v>
      </c>
      <c r="AU245">
        <v>2014</v>
      </c>
      <c r="AV245" t="s">
        <v>2242</v>
      </c>
      <c r="AW245">
        <v>62044.690999999999</v>
      </c>
    </row>
    <row r="246" spans="23:49" x14ac:dyDescent="0.25">
      <c r="W246" t="s">
        <v>1547</v>
      </c>
      <c r="X246" t="s">
        <v>2548</v>
      </c>
      <c r="Y246" t="s">
        <v>2548</v>
      </c>
      <c r="AE246" t="s">
        <v>2275</v>
      </c>
      <c r="AF246" t="s">
        <v>2481</v>
      </c>
      <c r="AG246" t="s">
        <v>2238</v>
      </c>
      <c r="AH246" t="s">
        <v>563</v>
      </c>
      <c r="AJ246" s="28" t="s">
        <v>1626</v>
      </c>
      <c r="AK246" s="28" t="s">
        <v>1626</v>
      </c>
      <c r="AL246" s="28" t="s">
        <v>481</v>
      </c>
      <c r="AM246" s="28"/>
      <c r="AN246" s="28" t="s">
        <v>9</v>
      </c>
      <c r="AO246" s="28"/>
      <c r="AQ246" t="s">
        <v>2624</v>
      </c>
      <c r="AR246" t="s">
        <v>2354</v>
      </c>
      <c r="AS246" t="s">
        <v>2240</v>
      </c>
      <c r="AT246" t="s">
        <v>2241</v>
      </c>
      <c r="AU246">
        <v>2014</v>
      </c>
      <c r="AV246" t="s">
        <v>2242</v>
      </c>
      <c r="AW246">
        <v>342336.11800000002</v>
      </c>
    </row>
    <row r="247" spans="23:49" x14ac:dyDescent="0.25">
      <c r="W247" t="s">
        <v>1574</v>
      </c>
      <c r="X247" t="s">
        <v>2548</v>
      </c>
      <c r="Y247" t="s">
        <v>2548</v>
      </c>
      <c r="AE247" t="s">
        <v>1483</v>
      </c>
      <c r="AF247" t="s">
        <v>2603</v>
      </c>
      <c r="AG247" t="s">
        <v>2591</v>
      </c>
      <c r="AH247" t="s">
        <v>517</v>
      </c>
      <c r="AJ247" s="28" t="s">
        <v>2290</v>
      </c>
      <c r="AK247" s="28" t="s">
        <v>2270</v>
      </c>
      <c r="AL247" s="28" t="s">
        <v>481</v>
      </c>
      <c r="AM247" s="28"/>
      <c r="AN247" s="28" t="s">
        <v>9</v>
      </c>
      <c r="AO247" s="28" t="s">
        <v>2625</v>
      </c>
      <c r="AQ247" t="s">
        <v>2626</v>
      </c>
      <c r="AR247" t="s">
        <v>2627</v>
      </c>
      <c r="AS247" t="s">
        <v>2240</v>
      </c>
      <c r="AT247" t="s">
        <v>2241</v>
      </c>
      <c r="AU247">
        <v>2014</v>
      </c>
      <c r="AV247" t="s">
        <v>2242</v>
      </c>
      <c r="AW247">
        <v>972060.70600000001</v>
      </c>
    </row>
    <row r="248" spans="23:49" x14ac:dyDescent="0.25">
      <c r="W248" t="s">
        <v>1580</v>
      </c>
      <c r="X248" t="s">
        <v>2548</v>
      </c>
      <c r="Y248" t="s">
        <v>2548</v>
      </c>
      <c r="AJ248" s="28" t="s">
        <v>1399</v>
      </c>
      <c r="AK248" s="28" t="s">
        <v>2270</v>
      </c>
      <c r="AL248" s="28" t="s">
        <v>481</v>
      </c>
      <c r="AM248" s="28"/>
      <c r="AN248" s="28" t="s">
        <v>9</v>
      </c>
      <c r="AO248" s="28"/>
      <c r="AQ248" t="s">
        <v>2628</v>
      </c>
      <c r="AR248" t="s">
        <v>2629</v>
      </c>
      <c r="AS248" t="s">
        <v>2240</v>
      </c>
      <c r="AT248" t="s">
        <v>2241</v>
      </c>
      <c r="AU248">
        <v>2014</v>
      </c>
      <c r="AV248" t="s">
        <v>2242</v>
      </c>
      <c r="AW248">
        <v>354464.23700000002</v>
      </c>
    </row>
    <row r="249" spans="23:49" x14ac:dyDescent="0.25">
      <c r="W249" t="s">
        <v>2249</v>
      </c>
      <c r="X249" t="s">
        <v>2548</v>
      </c>
      <c r="Y249" t="s">
        <v>2548</v>
      </c>
      <c r="AJ249" s="28" t="s">
        <v>1642</v>
      </c>
      <c r="AK249" s="28" t="s">
        <v>1642</v>
      </c>
      <c r="AL249" s="28" t="s">
        <v>500</v>
      </c>
      <c r="AM249" s="28" t="s">
        <v>605</v>
      </c>
      <c r="AN249" s="28" t="s">
        <v>9</v>
      </c>
      <c r="AO249" s="28"/>
      <c r="AQ249" t="s">
        <v>2630</v>
      </c>
      <c r="AR249" t="s">
        <v>2631</v>
      </c>
      <c r="AS249" t="s">
        <v>2240</v>
      </c>
      <c r="AT249" t="s">
        <v>2241</v>
      </c>
      <c r="AU249">
        <v>2014</v>
      </c>
      <c r="AV249" t="s">
        <v>2242</v>
      </c>
      <c r="AW249">
        <v>166721.88800000001</v>
      </c>
    </row>
    <row r="250" spans="23:49" x14ac:dyDescent="0.25">
      <c r="W250" t="s">
        <v>677</v>
      </c>
      <c r="X250" t="s">
        <v>2548</v>
      </c>
      <c r="Y250" t="s">
        <v>2548</v>
      </c>
      <c r="AJ250" s="28" t="s">
        <v>1464</v>
      </c>
      <c r="AK250" s="28" t="s">
        <v>1464</v>
      </c>
      <c r="AL250" s="28" t="s">
        <v>517</v>
      </c>
      <c r="AM250" s="28" t="s">
        <v>605</v>
      </c>
      <c r="AN250" s="28" t="s">
        <v>9</v>
      </c>
      <c r="AO250" s="28"/>
      <c r="AQ250" t="s">
        <v>2632</v>
      </c>
      <c r="AR250" t="s">
        <v>2633</v>
      </c>
      <c r="AS250" t="s">
        <v>2240</v>
      </c>
      <c r="AT250" t="s">
        <v>2241</v>
      </c>
      <c r="AU250">
        <v>2014</v>
      </c>
      <c r="AV250" t="s">
        <v>2242</v>
      </c>
      <c r="AW250">
        <v>42380.811999999998</v>
      </c>
    </row>
    <row r="251" spans="23:49" x14ac:dyDescent="0.25">
      <c r="W251" t="s">
        <v>1706</v>
      </c>
      <c r="X251" t="s">
        <v>2548</v>
      </c>
      <c r="Y251" t="s">
        <v>2548</v>
      </c>
      <c r="AJ251" s="28" t="s">
        <v>1647</v>
      </c>
      <c r="AK251" s="28" t="s">
        <v>1647</v>
      </c>
      <c r="AL251" s="28" t="s">
        <v>517</v>
      </c>
      <c r="AM251" s="28" t="s">
        <v>605</v>
      </c>
      <c r="AN251" s="28" t="s">
        <v>9</v>
      </c>
      <c r="AO251" s="28"/>
      <c r="AQ251" t="s">
        <v>2634</v>
      </c>
      <c r="AR251" t="s">
        <v>2635</v>
      </c>
      <c r="AS251" t="s">
        <v>2240</v>
      </c>
      <c r="AT251" t="s">
        <v>2241</v>
      </c>
      <c r="AU251">
        <v>2014</v>
      </c>
      <c r="AV251" t="s">
        <v>2242</v>
      </c>
      <c r="AW251">
        <v>408493.76899999997</v>
      </c>
    </row>
    <row r="252" spans="23:49" x14ac:dyDescent="0.25">
      <c r="W252" t="s">
        <v>2290</v>
      </c>
      <c r="X252" t="s">
        <v>2548</v>
      </c>
      <c r="Y252" t="s">
        <v>2548</v>
      </c>
      <c r="AJ252" s="28" t="s">
        <v>1652</v>
      </c>
      <c r="AK252" s="28" t="s">
        <v>1652</v>
      </c>
      <c r="AL252" s="28" t="s">
        <v>517</v>
      </c>
      <c r="AM252" s="28" t="s">
        <v>605</v>
      </c>
      <c r="AN252" s="28" t="s">
        <v>9</v>
      </c>
      <c r="AO252" s="28"/>
      <c r="AQ252" t="s">
        <v>2636</v>
      </c>
      <c r="AR252" t="s">
        <v>2637</v>
      </c>
      <c r="AS252" t="s">
        <v>2240</v>
      </c>
      <c r="AT252" t="s">
        <v>2241</v>
      </c>
      <c r="AU252">
        <v>2014</v>
      </c>
      <c r="AV252" t="s">
        <v>2242</v>
      </c>
      <c r="AW252">
        <v>4389699.4730000002</v>
      </c>
    </row>
    <row r="253" spans="23:49" x14ac:dyDescent="0.25">
      <c r="AQ253" t="s">
        <v>2638</v>
      </c>
      <c r="AR253" t="s">
        <v>2639</v>
      </c>
      <c r="AS253" t="s">
        <v>2240</v>
      </c>
      <c r="AT253" t="s">
        <v>2241</v>
      </c>
      <c r="AU253">
        <v>2014</v>
      </c>
      <c r="AV253" t="s">
        <v>2242</v>
      </c>
      <c r="AW253">
        <v>67292.695999999996</v>
      </c>
    </row>
    <row r="254" spans="23:49" x14ac:dyDescent="0.25">
      <c r="AQ254" t="s">
        <v>2640</v>
      </c>
      <c r="AR254" t="s">
        <v>2641</v>
      </c>
      <c r="AS254" t="s">
        <v>2240</v>
      </c>
      <c r="AT254" t="s">
        <v>2241</v>
      </c>
      <c r="AU254">
        <v>2014</v>
      </c>
      <c r="AV254" t="s">
        <v>2242</v>
      </c>
      <c r="AW254">
        <v>1637445.263</v>
      </c>
    </row>
    <row r="255" spans="23:49" x14ac:dyDescent="0.25">
      <c r="AQ255" t="s">
        <v>2642</v>
      </c>
      <c r="AR255" t="s">
        <v>614</v>
      </c>
      <c r="AS255" t="s">
        <v>2240</v>
      </c>
      <c r="AT255" t="s">
        <v>2241</v>
      </c>
      <c r="AU255">
        <v>2014</v>
      </c>
      <c r="AV255" t="s">
        <v>2242</v>
      </c>
      <c r="AW255">
        <v>1805108.29</v>
      </c>
    </row>
    <row r="256" spans="23:49" x14ac:dyDescent="0.25">
      <c r="AQ256" t="s">
        <v>2643</v>
      </c>
      <c r="AR256" t="s">
        <v>2644</v>
      </c>
      <c r="AS256" t="s">
        <v>2240</v>
      </c>
      <c r="AT256" t="s">
        <v>2241</v>
      </c>
      <c r="AU256">
        <v>2014</v>
      </c>
      <c r="AV256" t="s">
        <v>2242</v>
      </c>
      <c r="AW256">
        <v>626965.22400000005</v>
      </c>
    </row>
    <row r="257" spans="43:49" x14ac:dyDescent="0.25">
      <c r="AQ257" t="s">
        <v>2645</v>
      </c>
      <c r="AR257" t="s">
        <v>2646</v>
      </c>
      <c r="AS257" t="s">
        <v>2240</v>
      </c>
      <c r="AT257" t="s">
        <v>2241</v>
      </c>
      <c r="AU257">
        <v>2014</v>
      </c>
      <c r="AV257" t="s">
        <v>2242</v>
      </c>
      <c r="AW257">
        <v>252888</v>
      </c>
    </row>
    <row r="258" spans="43:49" x14ac:dyDescent="0.25">
      <c r="AQ258" t="s">
        <v>2647</v>
      </c>
      <c r="AR258" t="s">
        <v>520</v>
      </c>
      <c r="AS258" t="s">
        <v>2240</v>
      </c>
      <c r="AT258" t="s">
        <v>2241</v>
      </c>
      <c r="AU258">
        <v>2014</v>
      </c>
      <c r="AV258" t="s">
        <v>2242</v>
      </c>
      <c r="AW258">
        <v>741818.29099999997</v>
      </c>
    </row>
    <row r="259" spans="43:49" x14ac:dyDescent="0.25">
      <c r="AQ259" t="s">
        <v>2648</v>
      </c>
      <c r="AR259" t="s">
        <v>2649</v>
      </c>
      <c r="AS259" t="s">
        <v>2240</v>
      </c>
      <c r="AT259" t="s">
        <v>2241</v>
      </c>
      <c r="AU259">
        <v>2014</v>
      </c>
      <c r="AV259" t="s">
        <v>2242</v>
      </c>
      <c r="AW259">
        <v>294479.08199999999</v>
      </c>
    </row>
    <row r="260" spans="43:49" x14ac:dyDescent="0.25">
      <c r="AQ260" t="s">
        <v>2650</v>
      </c>
      <c r="AR260" t="s">
        <v>2651</v>
      </c>
      <c r="AS260" t="s">
        <v>2240</v>
      </c>
      <c r="AT260" t="s">
        <v>2241</v>
      </c>
      <c r="AU260">
        <v>2014</v>
      </c>
      <c r="AV260" t="s">
        <v>2242</v>
      </c>
      <c r="AW260">
        <v>102943.02899999999</v>
      </c>
    </row>
    <row r="261" spans="43:49" x14ac:dyDescent="0.25">
      <c r="AQ261" t="s">
        <v>2652</v>
      </c>
      <c r="AR261" t="s">
        <v>2653</v>
      </c>
      <c r="AS261" t="s">
        <v>2240</v>
      </c>
      <c r="AT261" t="s">
        <v>2241</v>
      </c>
      <c r="AU261">
        <v>2014</v>
      </c>
      <c r="AV261" t="s">
        <v>2242</v>
      </c>
      <c r="AW261">
        <v>153188.22099999999</v>
      </c>
    </row>
    <row r="262" spans="43:49" x14ac:dyDescent="0.25">
      <c r="AQ262" t="s">
        <v>2654</v>
      </c>
      <c r="AR262" t="s">
        <v>2440</v>
      </c>
      <c r="AS262" t="s">
        <v>2240</v>
      </c>
      <c r="AT262" t="s">
        <v>2241</v>
      </c>
      <c r="AU262">
        <v>2014</v>
      </c>
      <c r="AV262" t="s">
        <v>2242</v>
      </c>
      <c r="AW262">
        <v>191207.959</v>
      </c>
    </row>
    <row r="263" spans="43:49" x14ac:dyDescent="0.25">
      <c r="AQ263" t="s">
        <v>2655</v>
      </c>
      <c r="AR263" t="s">
        <v>2584</v>
      </c>
      <c r="AS263" t="s">
        <v>2240</v>
      </c>
      <c r="AT263" t="s">
        <v>2241</v>
      </c>
      <c r="AU263">
        <v>2014</v>
      </c>
      <c r="AV263" t="s">
        <v>2242</v>
      </c>
      <c r="AW263">
        <v>39278.667999999998</v>
      </c>
    </row>
    <row r="264" spans="43:49" x14ac:dyDescent="0.25">
      <c r="AQ264" t="s">
        <v>2656</v>
      </c>
      <c r="AR264" t="s">
        <v>2657</v>
      </c>
      <c r="AS264" t="s">
        <v>2240</v>
      </c>
      <c r="AT264" t="s">
        <v>2241</v>
      </c>
      <c r="AU264">
        <v>2014</v>
      </c>
      <c r="AV264" t="s">
        <v>2242</v>
      </c>
      <c r="AW264">
        <v>28163.951000000001</v>
      </c>
    </row>
    <row r="265" spans="43:49" x14ac:dyDescent="0.25">
      <c r="AQ265" t="s">
        <v>2658</v>
      </c>
      <c r="AR265" t="s">
        <v>2659</v>
      </c>
      <c r="AS265" t="s">
        <v>2240</v>
      </c>
      <c r="AT265" t="s">
        <v>2241</v>
      </c>
      <c r="AU265">
        <v>2014</v>
      </c>
      <c r="AV265" t="s">
        <v>2242</v>
      </c>
      <c r="AW265">
        <v>9931.8889999999992</v>
      </c>
    </row>
    <row r="266" spans="43:49" x14ac:dyDescent="0.25">
      <c r="AQ266" t="s">
        <v>2660</v>
      </c>
      <c r="AR266" t="s">
        <v>2661</v>
      </c>
      <c r="AS266" t="s">
        <v>2240</v>
      </c>
      <c r="AT266" t="s">
        <v>2241</v>
      </c>
      <c r="AU266">
        <v>2014</v>
      </c>
      <c r="AV266" t="s">
        <v>2242</v>
      </c>
      <c r="AW266">
        <v>518.25199999999995</v>
      </c>
    </row>
    <row r="267" spans="43:49" x14ac:dyDescent="0.25">
      <c r="AQ267" t="s">
        <v>2662</v>
      </c>
      <c r="AR267" t="s">
        <v>2663</v>
      </c>
      <c r="AS267" t="s">
        <v>2240</v>
      </c>
      <c r="AT267" t="s">
        <v>2241</v>
      </c>
      <c r="AU267">
        <v>2014</v>
      </c>
      <c r="AV267" t="s">
        <v>2242</v>
      </c>
      <c r="AW267">
        <v>664.57600000000002</v>
      </c>
    </row>
    <row r="268" spans="43:49" x14ac:dyDescent="0.25">
      <c r="AQ268" t="s">
        <v>2664</v>
      </c>
      <c r="AR268" t="s">
        <v>2665</v>
      </c>
      <c r="AS268" t="s">
        <v>2240</v>
      </c>
      <c r="AT268" t="s">
        <v>2241</v>
      </c>
      <c r="AU268">
        <v>2014</v>
      </c>
      <c r="AV268" t="s">
        <v>2242</v>
      </c>
      <c r="AW268">
        <v>442091.255</v>
      </c>
    </row>
    <row r="269" spans="43:49" x14ac:dyDescent="0.25">
      <c r="AQ269" t="s">
        <v>2666</v>
      </c>
      <c r="AR269" t="s">
        <v>2667</v>
      </c>
      <c r="AS269" t="s">
        <v>2240</v>
      </c>
      <c r="AT269" t="s">
        <v>2241</v>
      </c>
      <c r="AU269">
        <v>2014</v>
      </c>
      <c r="AV269" t="s">
        <v>2242</v>
      </c>
      <c r="AW269">
        <v>919222.93700000003</v>
      </c>
    </row>
    <row r="270" spans="43:49" x14ac:dyDescent="0.25">
      <c r="AQ270" t="s">
        <v>2668</v>
      </c>
      <c r="AR270" t="s">
        <v>2669</v>
      </c>
      <c r="AS270" t="s">
        <v>2240</v>
      </c>
      <c r="AT270" t="s">
        <v>2241</v>
      </c>
      <c r="AU270">
        <v>2014</v>
      </c>
      <c r="AV270" t="s">
        <v>2242</v>
      </c>
      <c r="AW270">
        <v>462623.533</v>
      </c>
    </row>
    <row r="271" spans="43:49" x14ac:dyDescent="0.25">
      <c r="AQ271" t="s">
        <v>2670</v>
      </c>
      <c r="AR271" t="s">
        <v>2671</v>
      </c>
      <c r="AS271" t="s">
        <v>2240</v>
      </c>
      <c r="AT271" t="s">
        <v>2241</v>
      </c>
      <c r="AU271">
        <v>2014</v>
      </c>
      <c r="AV271" t="s">
        <v>2242</v>
      </c>
      <c r="AW271">
        <v>67937.457999999999</v>
      </c>
    </row>
    <row r="272" spans="43:49" x14ac:dyDescent="0.25">
      <c r="AQ272" t="s">
        <v>2672</v>
      </c>
      <c r="AR272" t="s">
        <v>2673</v>
      </c>
      <c r="AS272" t="s">
        <v>2240</v>
      </c>
      <c r="AT272" t="s">
        <v>2241</v>
      </c>
      <c r="AU272">
        <v>2014</v>
      </c>
      <c r="AV272" t="s">
        <v>2242</v>
      </c>
      <c r="AW272">
        <v>2419736.0019999999</v>
      </c>
    </row>
    <row r="273" spans="43:49" x14ac:dyDescent="0.25">
      <c r="AQ273" t="s">
        <v>2674</v>
      </c>
      <c r="AR273" t="s">
        <v>2675</v>
      </c>
      <c r="AS273" t="s">
        <v>2240</v>
      </c>
      <c r="AT273" t="s">
        <v>2241</v>
      </c>
      <c r="AU273">
        <v>2014</v>
      </c>
      <c r="AV273" t="s">
        <v>2242</v>
      </c>
      <c r="AW273">
        <v>1463225.5009999999</v>
      </c>
    </row>
  </sheetData>
  <autoFilter ref="S1:S273" xr:uid="{00000000-0001-0000-0700-000000000000}"/>
  <conditionalFormatting sqref="G3:G226">
    <cfRule type="colorScale" priority="1">
      <colorScale>
        <cfvo type="min"/>
        <cfvo type="num" val="0.01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7F22-AF06-4D70-AF9E-59E9CE808D60}">
  <dimension ref="A1:F24"/>
  <sheetViews>
    <sheetView workbookViewId="0">
      <selection activeCell="F16" sqref="F16"/>
    </sheetView>
  </sheetViews>
  <sheetFormatPr defaultColWidth="8.85546875" defaultRowHeight="15" x14ac:dyDescent="0.25"/>
  <cols>
    <col min="1" max="1" width="12.42578125" customWidth="1"/>
    <col min="4" max="4" width="28.7109375" customWidth="1"/>
    <col min="5" max="5" width="17.42578125" customWidth="1"/>
  </cols>
  <sheetData>
    <row r="1" spans="1:6" x14ac:dyDescent="0.25">
      <c r="A1" t="s">
        <v>2676</v>
      </c>
    </row>
    <row r="2" spans="1:6" x14ac:dyDescent="0.25">
      <c r="A2" t="s">
        <v>3</v>
      </c>
      <c r="B2" t="s">
        <v>103</v>
      </c>
      <c r="D2" t="s">
        <v>2677</v>
      </c>
      <c r="E2" t="s">
        <v>2678</v>
      </c>
      <c r="F2" t="s">
        <v>2679</v>
      </c>
    </row>
    <row r="3" spans="1:6" x14ac:dyDescent="0.25">
      <c r="A3" t="s">
        <v>105</v>
      </c>
      <c r="B3">
        <v>0.87</v>
      </c>
      <c r="D3" t="s">
        <v>52</v>
      </c>
      <c r="E3" t="s">
        <v>141</v>
      </c>
      <c r="F3">
        <v>0.16000000000000003</v>
      </c>
    </row>
    <row r="4" spans="1:6" x14ac:dyDescent="0.25">
      <c r="A4" t="s">
        <v>106</v>
      </c>
      <c r="B4">
        <v>0.88</v>
      </c>
      <c r="D4" s="50" t="s">
        <v>17</v>
      </c>
      <c r="E4" s="50" t="s">
        <v>106</v>
      </c>
      <c r="F4">
        <v>0.88</v>
      </c>
    </row>
    <row r="5" spans="1:6" x14ac:dyDescent="0.25">
      <c r="A5" t="s">
        <v>107</v>
      </c>
      <c r="B5">
        <v>0.88</v>
      </c>
      <c r="D5" s="50" t="s">
        <v>16</v>
      </c>
      <c r="E5" s="50" t="s">
        <v>105</v>
      </c>
      <c r="F5">
        <v>0.87</v>
      </c>
    </row>
    <row r="6" spans="1:6" x14ac:dyDescent="0.25">
      <c r="A6" t="s">
        <v>115</v>
      </c>
      <c r="B6">
        <v>0.2</v>
      </c>
      <c r="D6" s="50" t="s">
        <v>2680</v>
      </c>
      <c r="E6" s="50" t="s">
        <v>107</v>
      </c>
      <c r="F6">
        <v>0.88</v>
      </c>
    </row>
    <row r="7" spans="1:6" x14ac:dyDescent="0.25">
      <c r="A7" t="s">
        <v>116</v>
      </c>
      <c r="B7">
        <v>0.2</v>
      </c>
      <c r="D7" s="50" t="s">
        <v>2681</v>
      </c>
      <c r="E7" s="50" t="s">
        <v>107</v>
      </c>
      <c r="F7">
        <v>0.88</v>
      </c>
    </row>
    <row r="8" spans="1:6" x14ac:dyDescent="0.25">
      <c r="A8" t="s">
        <v>117</v>
      </c>
      <c r="B8">
        <v>0.2</v>
      </c>
      <c r="D8" s="50" t="s">
        <v>2682</v>
      </c>
      <c r="E8" s="50" t="s">
        <v>107</v>
      </c>
      <c r="F8">
        <v>0.88</v>
      </c>
    </row>
    <row r="9" spans="1:6" x14ac:dyDescent="0.25">
      <c r="A9" t="s">
        <v>118</v>
      </c>
      <c r="B9">
        <v>0.85</v>
      </c>
      <c r="D9" s="50" t="s">
        <v>30</v>
      </c>
      <c r="E9" s="50" t="s">
        <v>114</v>
      </c>
      <c r="F9">
        <v>0.9</v>
      </c>
    </row>
    <row r="10" spans="1:6" x14ac:dyDescent="0.25">
      <c r="A10" t="s">
        <v>119</v>
      </c>
      <c r="B10">
        <v>0.25</v>
      </c>
      <c r="D10" s="50" t="s">
        <v>2090</v>
      </c>
      <c r="E10" s="50" t="s">
        <v>110</v>
      </c>
      <c r="F10">
        <v>0.91</v>
      </c>
    </row>
    <row r="11" spans="1:6" x14ac:dyDescent="0.25">
      <c r="A11" t="s">
        <v>110</v>
      </c>
      <c r="B11">
        <v>0.92</v>
      </c>
      <c r="D11" s="50" t="s">
        <v>2683</v>
      </c>
      <c r="E11" s="50" t="s">
        <v>110</v>
      </c>
      <c r="F11">
        <v>0.92500000000000004</v>
      </c>
    </row>
    <row r="12" spans="1:6" x14ac:dyDescent="0.25">
      <c r="A12" t="s">
        <v>113</v>
      </c>
      <c r="B12">
        <v>0.25</v>
      </c>
      <c r="D12" s="50" t="s">
        <v>2684</v>
      </c>
      <c r="E12" s="50" t="s">
        <v>110</v>
      </c>
      <c r="F12">
        <v>0.94</v>
      </c>
    </row>
    <row r="13" spans="1:6" x14ac:dyDescent="0.25">
      <c r="A13" t="s">
        <v>120</v>
      </c>
      <c r="B13">
        <v>0.92</v>
      </c>
      <c r="D13" s="50" t="s">
        <v>2685</v>
      </c>
      <c r="E13" s="50" t="s">
        <v>114</v>
      </c>
      <c r="F13">
        <v>0.24</v>
      </c>
    </row>
    <row r="14" spans="1:6" x14ac:dyDescent="0.25">
      <c r="A14" t="s">
        <v>2686</v>
      </c>
      <c r="B14">
        <v>0.8</v>
      </c>
      <c r="D14" s="50" t="s">
        <v>2687</v>
      </c>
      <c r="E14" s="50" t="s">
        <v>114</v>
      </c>
      <c r="F14">
        <v>0.35</v>
      </c>
    </row>
    <row r="15" spans="1:6" x14ac:dyDescent="0.25">
      <c r="A15" t="s">
        <v>128</v>
      </c>
      <c r="B15">
        <v>0.5</v>
      </c>
      <c r="D15" s="50" t="s">
        <v>2688</v>
      </c>
      <c r="E15" s="50" t="s">
        <v>113</v>
      </c>
      <c r="F15">
        <v>0.27</v>
      </c>
    </row>
    <row r="16" spans="1:6" x14ac:dyDescent="0.25">
      <c r="A16" t="s">
        <v>131</v>
      </c>
      <c r="B16">
        <v>0.5</v>
      </c>
      <c r="D16" s="50" t="s">
        <v>2094</v>
      </c>
      <c r="E16" s="50" t="s">
        <v>110</v>
      </c>
      <c r="F16">
        <v>0.51100000000000001</v>
      </c>
    </row>
    <row r="17" spans="1:6" x14ac:dyDescent="0.25">
      <c r="A17" t="s">
        <v>136</v>
      </c>
      <c r="B17">
        <v>0.125</v>
      </c>
      <c r="D17" s="50" t="s">
        <v>2689</v>
      </c>
      <c r="E17" s="50" t="s">
        <v>114</v>
      </c>
      <c r="F17">
        <v>0.15000000000000002</v>
      </c>
    </row>
    <row r="18" spans="1:6" x14ac:dyDescent="0.25">
      <c r="A18" t="s">
        <v>139</v>
      </c>
      <c r="B18">
        <v>0.7</v>
      </c>
      <c r="D18" s="50" t="s">
        <v>2690</v>
      </c>
      <c r="E18" s="50" t="s">
        <v>124</v>
      </c>
      <c r="F18">
        <v>0.9</v>
      </c>
    </row>
    <row r="19" spans="1:6" x14ac:dyDescent="0.25">
      <c r="D19" s="50" t="s">
        <v>31</v>
      </c>
      <c r="E19" s="50" t="s">
        <v>120</v>
      </c>
      <c r="F19">
        <v>0.91200000000000003</v>
      </c>
    </row>
    <row r="20" spans="1:6" x14ac:dyDescent="0.25">
      <c r="D20" t="s">
        <v>2691</v>
      </c>
      <c r="E20" t="s">
        <v>128</v>
      </c>
      <c r="F20">
        <v>0.5</v>
      </c>
    </row>
    <row r="21" spans="1:6" x14ac:dyDescent="0.25">
      <c r="D21" t="s">
        <v>47</v>
      </c>
      <c r="E21" t="s">
        <v>136</v>
      </c>
      <c r="F21">
        <v>0.125</v>
      </c>
    </row>
    <row r="22" spans="1:6" x14ac:dyDescent="0.25">
      <c r="D22" t="s">
        <v>2692</v>
      </c>
      <c r="E22" s="50" t="s">
        <v>2693</v>
      </c>
      <c r="F22">
        <v>0.5</v>
      </c>
    </row>
    <row r="23" spans="1:6" x14ac:dyDescent="0.25">
      <c r="D23" t="s">
        <v>2694</v>
      </c>
      <c r="E23" s="50" t="s">
        <v>128</v>
      </c>
      <c r="F23">
        <v>0.5</v>
      </c>
    </row>
    <row r="24" spans="1:6" x14ac:dyDescent="0.25">
      <c r="D24" t="s">
        <v>2695</v>
      </c>
      <c r="E24" s="50" t="s">
        <v>2693</v>
      </c>
      <c r="F24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27a00-2c68-4d0f-912e-16480dcb8803">
      <Terms xmlns="http://schemas.microsoft.com/office/infopath/2007/PartnerControls"/>
    </lcf76f155ced4ddcb4097134ff3c332f>
    <TaxCatchAll xmlns="3f10eb4e-82c9-41de-8348-049928b799fa" xsi:nil="true"/>
    <Inorderoftheprogramme xmlns="0f127a00-2c68-4d0f-912e-16480dcb8803" xsi:nil="true"/>
    <Datum xmlns="0f127a00-2c68-4d0f-912e-16480dcb88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C35B2525B5B4484BF1A121B63E68E" ma:contentTypeVersion="19" ma:contentTypeDescription="Create a new document." ma:contentTypeScope="" ma:versionID="a7c22f9fe1e749d685a96b01ade195d3">
  <xsd:schema xmlns:xsd="http://www.w3.org/2001/XMLSchema" xmlns:xs="http://www.w3.org/2001/XMLSchema" xmlns:p="http://schemas.microsoft.com/office/2006/metadata/properties" xmlns:ns2="0f127a00-2c68-4d0f-912e-16480dcb8803" xmlns:ns3="3f10eb4e-82c9-41de-8348-049928b799fa" targetNamespace="http://schemas.microsoft.com/office/2006/metadata/properties" ma:root="true" ma:fieldsID="5315c256985663588798070a11f81905" ns2:_="" ns3:_="">
    <xsd:import namespace="0f127a00-2c68-4d0f-912e-16480dcb8803"/>
    <xsd:import namespace="3f10eb4e-82c9-41de-8348-049928b799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Inorderoftheprogramme" minOccurs="0"/>
                <xsd:element ref="ns2:MediaServiceSearchProperties" minOccurs="0"/>
                <xsd:element ref="ns2:Datu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27a00-2c68-4d0f-912e-16480dcb8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norderoftheprogramme" ma:index="24" nillable="true" ma:displayName="In order of the programme" ma:format="Dropdown" ma:internalName="Inorderoftheprogramme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6" nillable="true" ma:displayName="Datum" ma:format="DateOnly" ma:internalName="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0eb4e-82c9-41de-8348-049928b799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f5448fb-c1c2-4646-b710-cd9f4e5dd5fb}" ma:internalName="TaxCatchAll" ma:showField="CatchAllData" ma:web="3f10eb4e-82c9-41de-8348-049928b799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42C15-7975-4E0B-9DE0-B340473DC58F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3f10eb4e-82c9-41de-8348-049928b799fa"/>
    <ds:schemaRef ds:uri="http://purl.org/dc/terms/"/>
    <ds:schemaRef ds:uri="0f127a00-2c68-4d0f-912e-16480dcb880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43BBAA-F67C-4C6B-BC8B-E02DBACDB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2989B-20E3-4C5D-BB1E-723C89F2B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127a00-2c68-4d0f-912e-16480dcb8803"/>
    <ds:schemaRef ds:uri="3f10eb4e-82c9-41de-8348-049928b799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Listing_template</vt:lpstr>
      <vt:lpstr>Variables</vt:lpstr>
      <vt:lpstr>Regions</vt:lpstr>
      <vt:lpstr>Units</vt:lpstr>
      <vt:lpstr>Items</vt:lpstr>
      <vt:lpstr>Overview crop definitions</vt:lpstr>
      <vt:lpstr>Overview regional mapping</vt:lpstr>
      <vt:lpstr>DM_Conversion_rates</vt:lpstr>
    </vt:vector>
  </TitlesOfParts>
  <Manager/>
  <Company>Institute of Development Studies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Dirk Willenbockel</dc:creator>
  <cp:keywords/>
  <dc:description/>
  <cp:lastModifiedBy>WÖGERER Michael</cp:lastModifiedBy>
  <cp:revision/>
  <dcterms:created xsi:type="dcterms:W3CDTF">2012-05-30T16:23:19Z</dcterms:created>
  <dcterms:modified xsi:type="dcterms:W3CDTF">2026-10-06T12:48:07Z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0x01010052DC35B2525B5B4484BF1A121B63E68E</vt:lpwstr>
  </property>
  <property fmtid="{D5CDD505-2E9C-101B-9397-08002B2CF9AE}" pid="3" name="MediaServiceImageTags">
    <vt:lpwstr/>
  </property>
</Properties>
</file>